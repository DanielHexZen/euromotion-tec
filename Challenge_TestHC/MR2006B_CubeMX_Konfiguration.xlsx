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Takt &amp; Timer" sheetId="2" state="visible" r:id="rId4"/>
    <sheet name="Pins" sheetId="3" state="visible" r:id="rId5"/>
    <sheet name="Peripherie" sheetId="4" state="visible" r:id="rId6"/>
    <sheet name="NVIC" sheetId="5" state="visible" r:id="rId7"/>
    <sheet name="Firmware" sheetId="6" state="visible" r:id="rId8"/>
    <sheet name="Verdrahtung &amp; Funk" sheetId="7" state="visible" r:id="rId9"/>
    <sheet name="Messwerte" sheetId="8" state="visible" r:id="rId10"/>
    <sheet name="Offene Punk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<sst xmlns="http://schemas.openxmlformats.org/spreadsheetml/2006/main" count="1049" uniqueCount="687">
  <si>
    <t xml:space="preserve">MR2006B – CubeMX-Konfiguration und Firmware-Stand</t>
  </si>
  <si>
    <t xml:space="preserve">Projekt Challenge_TestHC · Stand 09.10.2026 · Grundlage: main.c vom 08.10. und Chatverlauf</t>
  </si>
  <si>
    <t xml:space="preserve">Board</t>
  </si>
  <si>
    <t xml:space="preserve">NUCLEO-F446RE (STM32F446RETx, LQFP64)</t>
  </si>
  <si>
    <t xml:space="preserve">Projekt</t>
  </si>
  <si>
    <t xml:space="preserve">Challenge_TestHC</t>
  </si>
  <si>
    <t xml:space="preserve">Pfad</t>
  </si>
  <si>
    <t xml:space="preserve">/Users/danielappel/Desktop/Microcontrollers/A2.4/Challenge_TestHC</t>
  </si>
  <si>
    <t xml:space="preserve">Toolchain</t>
  </si>
  <si>
    <t xml:space="preserve">STM32CubeMX standalone → STM32CubeIDE 2.2 (macOS), HAL, Generate Under Root</t>
  </si>
  <si>
    <t xml:space="preserve">Firmware</t>
  </si>
  <si>
    <t xml:space="preserve">main.c des Kollegen: 2× BTS7960, 2× Encoder (TIM3/TIM8), Trapezprofil + PI-Drehzahlregler + Positionsführung, 50-Hz-Regeltakt auf TIM6, Befehl D&lt;mm&gt;</t>
  </si>
  <si>
    <t xml:space="preserve">Konsole</t>
  </si>
  <si>
    <t xml:space="preserve">USART2 über ST-Link (115200) und USART1 über HC-12 (9600), beide parallel; Totmann 2 s im Open Loop</t>
  </si>
  <si>
    <t xml:space="preserve">Aktueller Status</t>
  </si>
  <si>
    <t xml:space="preserve">Funkstrecke läuft. D1000 endet bei 999,5 / 1000,3 mm (Firmware), real 955 mm vor der Durchmesser-Kalibrierung → Raddurchmesser auf 72,6 mm gesetzt. Vorsteuerung pro Rad mit gemessenen Kv/Ks eingebaut.</t>
  </si>
  <si>
    <t xml:space="preserve">Wichtigster offener Punkt</t>
  </si>
  <si>
    <t xml:space="preserve">TIM6 Counter Period muss 199 sein (50 Hz bei 90 MHz Timertakt). Im letzten geteilten main.c stand noch 119 (= 83 Hz). Siehe Blatt „Offene Punkte“.</t>
  </si>
  <si>
    <t xml:space="preserve">Blätter</t>
  </si>
  <si>
    <t xml:space="preserve">Takt &amp; Timer</t>
  </si>
  <si>
    <t xml:space="preserve">Taktbaum und daraus berechnete Timerfrequenzen (Formeln, blaue Zahlen = Eingaben)</t>
  </si>
  <si>
    <t xml:space="preserve">Pins</t>
  </si>
  <si>
    <t xml:space="preserve">Pinbelegung der .ioc mit Morpho-Position und GPIO-Einstellungen</t>
  </si>
  <si>
    <t xml:space="preserve">Peripherie</t>
  </si>
  <si>
    <t xml:space="preserve">Alle Parameter von TIM1/2/3/6/8, USART1/2, SYS, RCC, Project Manager</t>
  </si>
  <si>
    <t xml:space="preserve">NVIC</t>
  </si>
  <si>
    <t xml:space="preserve">Prioritätsgruppe und Interrupt-Prioritäten</t>
  </si>
  <si>
    <t xml:space="preserve">Konstanten in main.c (USER CODE PD) inkl. abgeleiteter Werte</t>
  </si>
  <si>
    <t xml:space="preserve">Verdrahtung &amp; Funk</t>
  </si>
  <si>
    <t xml:space="preserve">Anschlüsse HC-12, BTS7960, Encoder, Versorgung, HC-12-AT-Einstellungen, serielle Ports</t>
  </si>
  <si>
    <t xml:space="preserve">Messwerte</t>
  </si>
  <si>
    <t xml:space="preserve">Bench-Messungen (Woche 5) und Fahrzeugtests vom 08.10.</t>
  </si>
  <si>
    <t xml:space="preserve">Offene Punkte</t>
  </si>
  <si>
    <t xml:space="preserve">Priorisierte To-do-Liste mit Begründung</t>
  </si>
  <si>
    <t xml:space="preserve">Legende</t>
  </si>
  <si>
    <t xml:space="preserve">Gelb = prüfen / offen · Grün = bestätigt · Blaue Schrift = Eingabewert, schwarz = berechnet</t>
  </si>
  <si>
    <t xml:space="preserve">Spalten „Stand“ / „Soll“</t>
  </si>
  <si>
    <t xml:space="preserve">„Stand main.c 08.10.“ = Wert im zuletzt geteilten Code. „Soll“ = zuletzt besprochener Zielwert. Weichen beide ab, ist der Punkt gelb markiert.</t>
  </si>
  <si>
    <t xml:space="preserve">Taktbaum (RCC) und Timerfrequenzen</t>
  </si>
  <si>
    <t xml:space="preserve">Blaue Zahlen sind Eingaben, schwarze Zellen werden berechnet</t>
  </si>
  <si>
    <t xml:space="preserve">Größe</t>
  </si>
  <si>
    <t xml:space="preserve">Wert</t>
  </si>
  <si>
    <t xml:space="preserve">Einheit</t>
  </si>
  <si>
    <t xml:space="preserve">Hinweis</t>
  </si>
  <si>
    <t xml:space="preserve">HSE (BYPASS, MCO vom ST-Link)</t>
  </si>
  <si>
    <t xml:space="preserve">MHz</t>
  </si>
  <si>
    <t xml:space="preserve">RCC → High Speed Clock: BYPASS Clock Source. PH1 bleibt frei.</t>
  </si>
  <si>
    <t xml:space="preserve">PLL Source</t>
  </si>
  <si>
    <t xml:space="preserve">HSE</t>
  </si>
  <si>
    <t xml:space="preserve">PLLM</t>
  </si>
  <si>
    <t xml:space="preserve">War auf /8 → nur 90 MHz. Korrigiert am 08.10.</t>
  </si>
  <si>
    <t xml:space="preserve">PLLN</t>
  </si>
  <si>
    <t xml:space="preserve">PLLP</t>
  </si>
  <si>
    <t xml:space="preserve">PLLQ / PLLR</t>
  </si>
  <si>
    <t xml:space="preserve">2 / 2</t>
  </si>
  <si>
    <t xml:space="preserve">unbenutzt (kein USB/SDIO)</t>
  </si>
  <si>
    <t xml:space="preserve">AHB Prescaler</t>
  </si>
  <si>
    <t xml:space="preserve">APB1 Prescaler</t>
  </si>
  <si>
    <t xml:space="preserve">APB2 Prescaler</t>
  </si>
  <si>
    <t xml:space="preserve">VCO-Eingang</t>
  </si>
  <si>
    <t xml:space="preserve">2 MHz = von ST empfohlen (minimaler Jitter)</t>
  </si>
  <si>
    <t xml:space="preserve">SYSCLK</t>
  </si>
  <si>
    <t xml:space="preserve">Soll 180</t>
  </si>
  <si>
    <t xml:space="preserve">HCLK</t>
  </si>
  <si>
    <t xml:space="preserve">max. 180</t>
  </si>
  <si>
    <t xml:space="preserve">PCLK1 (APB1)</t>
  </si>
  <si>
    <t xml:space="preserve">max. 45</t>
  </si>
  <si>
    <t xml:space="preserve">APB1 Timer clocks</t>
  </si>
  <si>
    <t xml:space="preserve">TIM2, TIM3, TIM6</t>
  </si>
  <si>
    <t xml:space="preserve">PCLK2 (APB2)</t>
  </si>
  <si>
    <t xml:space="preserve">max. 90</t>
  </si>
  <si>
    <t xml:space="preserve">APB2 Timer clocks</t>
  </si>
  <si>
    <t xml:space="preserve">TIM1, TIM8</t>
  </si>
  <si>
    <t xml:space="preserve">Voltage Scale / Over-Drive / Flash Latency</t>
  </si>
  <si>
    <t xml:space="preserve">VOS1 / an / 5 WS</t>
  </si>
  <si>
    <t xml:space="preserve">setzt CubeMX bei 180 MHz automatisch – im Code geprüft (08.10.)</t>
  </si>
  <si>
    <t xml:space="preserve">LSE</t>
  </si>
  <si>
    <t xml:space="preserve">aus</t>
  </si>
  <si>
    <t xml:space="preserve">PC14/PC15 auf Reset_State</t>
  </si>
  <si>
    <t xml:space="preserve">LSI</t>
  </si>
  <si>
    <t xml:space="preserve">kHz</t>
  </si>
  <si>
    <t xml:space="preserve">für späteren IWDG</t>
  </si>
  <si>
    <t xml:space="preserve">CSS</t>
  </si>
  <si>
    <t xml:space="preserve">Für den Test aus, weil kein HAL_RCC_CSSCallback existiert. Später mit Callback (EN_L/EN_R low) einschalten.</t>
  </si>
  <si>
    <t xml:space="preserve">HSE Startup Timeout</t>
  </si>
  <si>
    <t xml:space="preserve">ms</t>
  </si>
  <si>
    <t xml:space="preserve">Soll 1000 (Standard 100). Gegen Startproblem beim Einschalten. Stand prüfen in stm32f4xx_hal_conf.h</t>
  </si>
  <si>
    <t xml:space="preserve">Timerfrequenzen</t>
  </si>
  <si>
    <t xml:space="preserve">Timer</t>
  </si>
  <si>
    <t xml:space="preserve">Timertakt (MHz)</t>
  </si>
  <si>
    <t xml:space="preserve">PSC</t>
  </si>
  <si>
    <t xml:space="preserve">ARR</t>
  </si>
  <si>
    <t xml:space="preserve">Ergebnis</t>
  </si>
  <si>
    <t xml:space="preserve">TIM1 PWM (Init-Wert aus .ioc)</t>
  </si>
  <si>
    <t xml:space="preserve">Wird zur Laufzeit von PWM_Setup() überschrieben</t>
  </si>
  <si>
    <t xml:space="preserve">TIM1 PWM (Laufzeit, PWM_Setup)</t>
  </si>
  <si>
    <t xml:space="preserve">PWM_FREQ_HZ = 20000 → ARR = Timertakt/20 kHz − 1</t>
  </si>
  <si>
    <t xml:space="preserve">TIM2 Überlauf (aktuell, PSC 0)</t>
  </si>
  <si>
    <t xml:space="preserve">Hz</t>
  </si>
  <si>
    <t xml:space="preserve">Überlauf alle ~48 s. Pinout sieht PSC 89 → 1 MHz, Überlauf 71,6 min vor. Wird im aktuellen Code nicht gestartet.</t>
  </si>
  <si>
    <t xml:space="preserve">TIM6 Regeltakt – Stand main.c 08.10.</t>
  </si>
  <si>
    <t xml:space="preserve">FALSCH: 83 Hz statt 50 Hz</t>
  </si>
  <si>
    <t xml:space="preserve">TIM6 Regeltakt – Soll</t>
  </si>
  <si>
    <t xml:space="preserve">Muss zu CTRL_PERIOD_S = 0.02 passen</t>
  </si>
  <si>
    <t xml:space="preserve">Encoder-Eingangsfilter (Filter 15 = 8 Samples bei fDTS/32)</t>
  </si>
  <si>
    <t xml:space="preserve">CKD</t>
  </si>
  <si>
    <t xml:space="preserve">Filterzeit (µs)</t>
  </si>
  <si>
    <t xml:space="preserve">TIM3 (Encoder L)</t>
  </si>
  <si>
    <t xml:space="preserve">IC1 und IC2 Filter 15</t>
  </si>
  <si>
    <t xml:space="preserve">TIM8 (Encoder R)</t>
  </si>
  <si>
    <t xml:space="preserve">CKD /2 gleicht die Filterzeit an TIM3 an</t>
  </si>
  <si>
    <t xml:space="preserve">Pinbelegung der .ioc</t>
  </si>
  <si>
    <t xml:space="preserve">Morpho-Positionen nach MR2006B_Pinout.xlsx / UM1724</t>
  </si>
  <si>
    <t xml:space="preserve">Pin</t>
  </si>
  <si>
    <t xml:space="preserve">Morpho</t>
  </si>
  <si>
    <t xml:space="preserve">Signal (CubeMX)</t>
  </si>
  <si>
    <t xml:space="preserve">User Label</t>
  </si>
  <si>
    <t xml:space="preserve">Modus</t>
  </si>
  <si>
    <t xml:space="preserve">Pull</t>
  </si>
  <si>
    <t xml:space="preserve">Output Level</t>
  </si>
  <si>
    <t xml:space="preserve">Speed</t>
  </si>
  <si>
    <t xml:space="preserve">Ziel</t>
  </si>
  <si>
    <t xml:space="preserve">Status</t>
  </si>
  <si>
    <t xml:space="preserve">Antrieb</t>
  </si>
  <si>
    <t xml:space="preserve">PA8</t>
  </si>
  <si>
    <t xml:space="preserve">CN10-23</t>
  </si>
  <si>
    <t xml:space="preserve">TIM1_CH1</t>
  </si>
  <si>
    <t xml:space="preserve">AF PWM</t>
  </si>
  <si>
    <t xml:space="preserve">No pull</t>
  </si>
  <si>
    <t xml:space="preserve">Low</t>
  </si>
  <si>
    <t xml:space="preserve">BTS7960 L: RPWM (vorwärts)</t>
  </si>
  <si>
    <t xml:space="preserve">läuft</t>
  </si>
  <si>
    <t xml:space="preserve">PA9</t>
  </si>
  <si>
    <t xml:space="preserve">CN10-21</t>
  </si>
  <si>
    <t xml:space="preserve">TIM1_CH2</t>
  </si>
  <si>
    <t xml:space="preserve">BTS7960 L: LPWM (rückwärts)</t>
  </si>
  <si>
    <t xml:space="preserve">PA10</t>
  </si>
  <si>
    <t xml:space="preserve">CN10-33</t>
  </si>
  <si>
    <t xml:space="preserve">TIM1_CH3</t>
  </si>
  <si>
    <t xml:space="preserve">BTS7960 R: RPWM</t>
  </si>
  <si>
    <t xml:space="preserve">PA11</t>
  </si>
  <si>
    <t xml:space="preserve">CN10-14</t>
  </si>
  <si>
    <t xml:space="preserve">TIM1_CH4</t>
  </si>
  <si>
    <t xml:space="preserve">BTS7960 R: LPWM</t>
  </si>
  <si>
    <t xml:space="preserve">PB12</t>
  </si>
  <si>
    <t xml:space="preserve">CN10-16</t>
  </si>
  <si>
    <t xml:space="preserve">GPIO_Output</t>
  </si>
  <si>
    <t xml:space="preserve">EN_L</t>
  </si>
  <si>
    <t xml:space="preserve">Output PP</t>
  </si>
  <si>
    <t xml:space="preserve">Pull-down</t>
  </si>
  <si>
    <t xml:space="preserve">BTS7960 L: R_EN + L_EN</t>
  </si>
  <si>
    <t xml:space="preserve">zusätzlich externer 10 kΩ Pull-down</t>
  </si>
  <si>
    <t xml:space="preserve">PB13</t>
  </si>
  <si>
    <t xml:space="preserve">CN10-30</t>
  </si>
  <si>
    <t xml:space="preserve">EN_R</t>
  </si>
  <si>
    <t xml:space="preserve">BTS7960 R: R_EN + L_EN</t>
  </si>
  <si>
    <t xml:space="preserve">Encoder</t>
  </si>
  <si>
    <t xml:space="preserve">PA6</t>
  </si>
  <si>
    <t xml:space="preserve">CN10-13</t>
  </si>
  <si>
    <t xml:space="preserve">TIM3_CH1</t>
  </si>
  <si>
    <t xml:space="preserve">Encoder L: A</t>
  </si>
  <si>
    <t xml:space="preserve">Pull-ups (~3 kΩ) auf der Encoderplatine</t>
  </si>
  <si>
    <t xml:space="preserve">PA7</t>
  </si>
  <si>
    <t xml:space="preserve">CN10-15</t>
  </si>
  <si>
    <t xml:space="preserve">TIM3_CH2</t>
  </si>
  <si>
    <t xml:space="preserve">Encoder L: B</t>
  </si>
  <si>
    <t xml:space="preserve">PC6</t>
  </si>
  <si>
    <t xml:space="preserve">CN10-4</t>
  </si>
  <si>
    <t xml:space="preserve">TIM8_CH1</t>
  </si>
  <si>
    <t xml:space="preserve">Encoder R: A</t>
  </si>
  <si>
    <t xml:space="preserve">PC7</t>
  </si>
  <si>
    <t xml:space="preserve">CN10-19</t>
  </si>
  <si>
    <t xml:space="preserve">TIM8_CH2</t>
  </si>
  <si>
    <t xml:space="preserve">Encoder R: B</t>
  </si>
  <si>
    <t xml:space="preserve">Kommunikation</t>
  </si>
  <si>
    <t xml:space="preserve">PA2</t>
  </si>
  <si>
    <t xml:space="preserve">intern</t>
  </si>
  <si>
    <t xml:space="preserve">USART2_TX</t>
  </si>
  <si>
    <t xml:space="preserve">AF</t>
  </si>
  <si>
    <t xml:space="preserve">ST-Link VCP</t>
  </si>
  <si>
    <t xml:space="preserve">115200</t>
  </si>
  <si>
    <t xml:space="preserve">PA3</t>
  </si>
  <si>
    <t xml:space="preserve">USART2_RX</t>
  </si>
  <si>
    <t xml:space="preserve">PB6</t>
  </si>
  <si>
    <t xml:space="preserve">CN10-17</t>
  </si>
  <si>
    <t xml:space="preserve">USART1_TX</t>
  </si>
  <si>
    <t xml:space="preserve">HC-12: RXD</t>
  </si>
  <si>
    <t xml:space="preserve">9600. Pin zuerst zuweisen, sonst legt CubeMX USART1 auf PA9/PA10</t>
  </si>
  <si>
    <t xml:space="preserve">PB7</t>
  </si>
  <si>
    <t xml:space="preserve">CN7-21</t>
  </si>
  <si>
    <t xml:space="preserve">USART1_RX</t>
  </si>
  <si>
    <t xml:space="preserve">Pull-up (Soll)</t>
  </si>
  <si>
    <t xml:space="preserve">HC-12: TXD</t>
  </si>
  <si>
    <t xml:space="preserve">prüfen</t>
  </si>
  <si>
    <t xml:space="preserve">Pull-up in stm32f4xx_hal_msp.c (HAL_UART_MspInit) prüfen</t>
  </si>
  <si>
    <t xml:space="preserve">PC9</t>
  </si>
  <si>
    <t xml:space="preserve">CN10-1</t>
  </si>
  <si>
    <t xml:space="preserve">HC12_Set</t>
  </si>
  <si>
    <t xml:space="preserve">High</t>
  </si>
  <si>
    <t xml:space="preserve">HC-12: SET</t>
  </si>
  <si>
    <t xml:space="preserve">High = transparent, Low = AT-Modus</t>
  </si>
  <si>
    <t xml:space="preserve">System</t>
  </si>
  <si>
    <t xml:space="preserve">PA13</t>
  </si>
  <si>
    <t xml:space="preserve">CN7-13</t>
  </si>
  <si>
    <t xml:space="preserve">SYS_JTMS-SWDIO</t>
  </si>
  <si>
    <t xml:space="preserve">TMS</t>
  </si>
  <si>
    <t xml:space="preserve">Serial Wire</t>
  </si>
  <si>
    <t xml:space="preserve">ST-Link</t>
  </si>
  <si>
    <t xml:space="preserve">SYS → Debug: Serial Wire (nicht Trace Async)</t>
  </si>
  <si>
    <t xml:space="preserve">PA14</t>
  </si>
  <si>
    <t xml:space="preserve">CN7-15</t>
  </si>
  <si>
    <t xml:space="preserve">SYS_JTCK-SWCLK</t>
  </si>
  <si>
    <t xml:space="preserve">TCK</t>
  </si>
  <si>
    <t xml:space="preserve">PH0</t>
  </si>
  <si>
    <t xml:space="preserve">CN7-29</t>
  </si>
  <si>
    <t xml:space="preserve">RCC_OSC_IN</t>
  </si>
  <si>
    <t xml:space="preserve">HSE BYPASS</t>
  </si>
  <si>
    <t xml:space="preserve">ST-Link MCO 8 MHz</t>
  </si>
  <si>
    <t xml:space="preserve">PH1</t>
  </si>
  <si>
    <t xml:space="preserve">CN7-31</t>
  </si>
  <si>
    <t xml:space="preserve">(frei bei BYPASS)</t>
  </si>
  <si>
    <t xml:space="preserve">Im Screenshot noch als RCC_OSC_OUT belegt. Bei BYPASS sollte PH1 grau sein.</t>
  </si>
  <si>
    <t xml:space="preserve">PA5</t>
  </si>
  <si>
    <t xml:space="preserve">CN10-11</t>
  </si>
  <si>
    <t xml:space="preserve">LD2</t>
  </si>
  <si>
    <t xml:space="preserve">LD2 grün (onboard)</t>
  </si>
  <si>
    <t xml:space="preserve">ok</t>
  </si>
  <si>
    <t xml:space="preserve">im Code unbenutzt</t>
  </si>
  <si>
    <t xml:space="preserve">PC13</t>
  </si>
  <si>
    <t xml:space="preserve">CN7-23</t>
  </si>
  <si>
    <t xml:space="preserve">GPIO_EXTI13</t>
  </si>
  <si>
    <t xml:space="preserve">B1</t>
  </si>
  <si>
    <t xml:space="preserve">IT Falling</t>
  </si>
  <si>
    <t xml:space="preserve">B1 blau (onboard)</t>
  </si>
  <si>
    <t xml:space="preserve">im Code unbenutzt; externer Pull-up auf dem Board</t>
  </si>
  <si>
    <t xml:space="preserve">PA1</t>
  </si>
  <si>
    <t xml:space="preserve">CN7-30</t>
  </si>
  <si>
    <t xml:space="preserve">TIM2_CH2</t>
  </si>
  <si>
    <t xml:space="preserve">Input Capture</t>
  </si>
  <si>
    <t xml:space="preserve">später ICM-42688-P INT1</t>
  </si>
  <si>
    <t xml:space="preserve">TIM2 wird initialisiert, aber nicht gestartet</t>
  </si>
  <si>
    <t xml:space="preserve">Bewusst frei gemacht</t>
  </si>
  <si>
    <t xml:space="preserve">PB3</t>
  </si>
  <si>
    <t xml:space="preserve">CN10-31</t>
  </si>
  <si>
    <t xml:space="preserve">Reset_State</t>
  </si>
  <si>
    <t xml:space="preserve">später SPI1_SCK</t>
  </si>
  <si>
    <t xml:space="preserve">erledigt</t>
  </si>
  <si>
    <t xml:space="preserve">SWO-Zuweisung entfernt</t>
  </si>
  <si>
    <t xml:space="preserve">PC14 / PC15</t>
  </si>
  <si>
    <t xml:space="preserve">CN7-25 / CN7-27</t>
  </si>
  <si>
    <t xml:space="preserve">LSE-Zuweisung entfernt</t>
  </si>
  <si>
    <t xml:space="preserve">Peripherie-Parameter</t>
  </si>
  <si>
    <t xml:space="preserve">„Stand“ = zuletzt geteilter main.c (08.10.) · „Soll“ = zuletzt besprochener Zielwert</t>
  </si>
  <si>
    <t xml:space="preserve">Parameter</t>
  </si>
  <si>
    <t xml:space="preserve">Stand main.c 08.10.</t>
  </si>
  <si>
    <t xml:space="preserve">Soll</t>
  </si>
  <si>
    <t xml:space="preserve">SYS / Project Manager</t>
  </si>
  <si>
    <t xml:space="preserve">SYS</t>
  </si>
  <si>
    <t xml:space="preserve">Debug</t>
  </si>
  <si>
    <t xml:space="preserve">Niemals „No Debug“, sonst sperrt man sich aus</t>
  </si>
  <si>
    <t xml:space="preserve">Timebase Source</t>
  </si>
  <si>
    <t xml:space="preserve">SysTick</t>
  </si>
  <si>
    <t xml:space="preserve">Nicht TIM6, sonst Kollision mit HAL_TIM_PeriodElapsedCallback</t>
  </si>
  <si>
    <t xml:space="preserve">Project Manager</t>
  </si>
  <si>
    <t xml:space="preserve">Toolchain / IDE</t>
  </si>
  <si>
    <t xml:space="preserve">STM32CubeIDE</t>
  </si>
  <si>
    <t xml:space="preserve">Generate Under Root</t>
  </si>
  <si>
    <t xml:space="preserve">an</t>
  </si>
  <si>
    <t xml:space="preserve">.c/.h-Paare pro Peripherie</t>
  </si>
  <si>
    <t xml:space="preserve">MX_..._Init stehen static in main.c</t>
  </si>
  <si>
    <t xml:space="preserve">Treiber</t>
  </si>
  <si>
    <t xml:space="preserve">HAL (alle)</t>
  </si>
  <si>
    <t xml:space="preserve">HAL</t>
  </si>
  <si>
    <t xml:space="preserve">Build</t>
  </si>
  <si>
    <t xml:space="preserve">Optimierung</t>
  </si>
  <si>
    <t xml:space="preserve">-O0</t>
  </si>
  <si>
    <t xml:space="preserve">-Og</t>
  </si>
  <si>
    <t xml:space="preserve">Properties → C/C++ Build → Settings → Optimization</t>
  </si>
  <si>
    <t xml:space="preserve">-Wdouble-promotion</t>
  </si>
  <si>
    <t xml:space="preserve">fehlt</t>
  </si>
  <si>
    <t xml:space="preserve">Miscellaneous → Other flags; nach Regeneration git diff .cproject</t>
  </si>
  <si>
    <t xml:space="preserve">TIM1 – PWM 4 Kanäle (BTS7960)</t>
  </si>
  <si>
    <t xml:space="preserve">TIM1</t>
  </si>
  <si>
    <t xml:space="preserve">Clock Source</t>
  </si>
  <si>
    <t xml:space="preserve">Disable</t>
  </si>
  <si>
    <t xml:space="preserve">Erzeugt reines HAL_TIM_PWM_Init wie im Kollegen-Code</t>
  </si>
  <si>
    <t xml:space="preserve">Channel 1–4</t>
  </si>
  <si>
    <t xml:space="preserve">PWM Generation CH1–CH4</t>
  </si>
  <si>
    <t xml:space="preserve">Prescaler</t>
  </si>
  <si>
    <t xml:space="preserve">Counter Mode</t>
  </si>
  <si>
    <t xml:space="preserve">Up</t>
  </si>
  <si>
    <t xml:space="preserve">Counter Period (ARR)</t>
  </si>
  <si>
    <t xml:space="preserve">35999 (egal)</t>
  </si>
  <si>
    <t xml:space="preserve">PWM_Setup() setzt zur Laufzeit 8999 → 20 kHz</t>
  </si>
  <si>
    <t xml:space="preserve">Clock Division</t>
  </si>
  <si>
    <t xml:space="preserve">/1</t>
  </si>
  <si>
    <t xml:space="preserve">Repetition Counter</t>
  </si>
  <si>
    <t xml:space="preserve">auto-reload preload</t>
  </si>
  <si>
    <t xml:space="preserve">Enable</t>
  </si>
  <si>
    <t xml:space="preserve">PWM Mode / Pulse / Polarity / Idle</t>
  </si>
  <si>
    <t xml:space="preserve">PWM1 / 0 / High / Reset</t>
  </si>
  <si>
    <t xml:space="preserve">Idle Reset → Ausgänge Low, solange MOE nicht gesetzt</t>
  </si>
  <si>
    <t xml:space="preserve">Break &amp; Dead Time</t>
  </si>
  <si>
    <t xml:space="preserve">alles aus, Dead Time 0, AOE aus</t>
  </si>
  <si>
    <t xml:space="preserve">BTS7960 regelt Totzeit intern</t>
  </si>
  <si>
    <t xml:space="preserve">Trigger Output</t>
  </si>
  <si>
    <t xml:space="preserve">Reset</t>
  </si>
  <si>
    <t xml:space="preserve">TIM2 – Zeitbasis / Input Capture (für später)</t>
  </si>
  <si>
    <t xml:space="preserve">TIM2</t>
  </si>
  <si>
    <t xml:space="preserve">Internal</t>
  </si>
  <si>
    <t xml:space="preserve">Channel 2</t>
  </si>
  <si>
    <t xml:space="preserve">Input Capture direct</t>
  </si>
  <si>
    <t xml:space="preserve">PA1, später IMU INT1</t>
  </si>
  <si>
    <t xml:space="preserve">offen</t>
  </si>
  <si>
    <t xml:space="preserve">Für 1-MHz-Zeitbasis (Pinout) 89 setzen, sobald genutzt</t>
  </si>
  <si>
    <t xml:space="preserve">Counter Period</t>
  </si>
  <si>
    <t xml:space="preserve">32 Bit</t>
  </si>
  <si>
    <t xml:space="preserve">IC2 Polarity / Selection / Prescaler / Filter</t>
  </si>
  <si>
    <t xml:space="preserve">Rising / Direct / /1 / 0</t>
  </si>
  <si>
    <t xml:space="preserve">TIM3 – Encoder links (PA6/PA7)</t>
  </si>
  <si>
    <t xml:space="preserve">TIM3</t>
  </si>
  <si>
    <t xml:space="preserve">Combined Channels</t>
  </si>
  <si>
    <t xml:space="preserve">Encoder Mode</t>
  </si>
  <si>
    <t xml:space="preserve">TI1 and TI2</t>
  </si>
  <si>
    <t xml:space="preserve">×4-Auswertung</t>
  </si>
  <si>
    <t xml:space="preserve">Prescaler / Period</t>
  </si>
  <si>
    <t xml:space="preserve">0 / 65535</t>
  </si>
  <si>
    <t xml:space="preserve">Clock Division (CKD)</t>
  </si>
  <si>
    <t xml:space="preserve">IC1 / IC2 Polarity</t>
  </si>
  <si>
    <t xml:space="preserve">Rising / Rising</t>
  </si>
  <si>
    <t xml:space="preserve">Zählrichtung wird per ENC_x_SIGN im Code gedreht</t>
  </si>
  <si>
    <t xml:space="preserve">IC1 / IC2 Filter</t>
  </si>
  <si>
    <t xml:space="preserve">15 / 15</t>
  </si>
  <si>
    <t xml:space="preserve">IC2 war 0, korrigiert am 08.10.</t>
  </si>
  <si>
    <t xml:space="preserve">TIM6 – Regeltakt</t>
  </si>
  <si>
    <t xml:space="preserve">TIM6</t>
  </si>
  <si>
    <t xml:space="preserve">Activated</t>
  </si>
  <si>
    <t xml:space="preserve">ändern / prüfen</t>
  </si>
  <si>
    <t xml:space="preserve">119 ergibt 83 Hz! 199 → 50 Hz = CTRL_PERIOD_S. CubeMX setzt den Wert gern zurück.</t>
  </si>
  <si>
    <t xml:space="preserve">TIM8 – Encoder rechts (PC6/PC7)</t>
  </si>
  <si>
    <t xml:space="preserve">TIM8</t>
  </si>
  <si>
    <t xml:space="preserve">/2</t>
  </si>
  <si>
    <t xml:space="preserve">gleiche Filterzeit wie TIM3</t>
  </si>
  <si>
    <t xml:space="preserve">USART1 – HC-12</t>
  </si>
  <si>
    <t xml:space="preserve">USART1</t>
  </si>
  <si>
    <t xml:space="preserve">Mode</t>
  </si>
  <si>
    <t xml:space="preserve">Asynchronous</t>
  </si>
  <si>
    <t xml:space="preserve">PB6/PB7</t>
  </si>
  <si>
    <t xml:space="preserve">Baud / Format</t>
  </si>
  <si>
    <t xml:space="preserve">9600 8N1</t>
  </si>
  <si>
    <t xml:space="preserve">CubeMX-Default ist 115200 – Fehlerquelle</t>
  </si>
  <si>
    <t xml:space="preserve">Direction / Oversampling</t>
  </si>
  <si>
    <t xml:space="preserve">TX+RX / 16</t>
  </si>
  <si>
    <t xml:space="preserve">DMA</t>
  </si>
  <si>
    <t xml:space="preserve">keiner</t>
  </si>
  <si>
    <t xml:space="preserve">später TX DMA2 S7, RX DMA2 S2 circular</t>
  </si>
  <si>
    <t xml:space="preserve">Für Tests reicht IT-Empfang + blockierendes Senden</t>
  </si>
  <si>
    <t xml:space="preserve">an, Prio 3</t>
  </si>
  <si>
    <t xml:space="preserve">USART2 – Konsole</t>
  </si>
  <si>
    <t xml:space="preserve">USART2</t>
  </si>
  <si>
    <t xml:space="preserve">Mode / Baud</t>
  </si>
  <si>
    <t xml:space="preserve">Asynchronous, 115200 8N1</t>
  </si>
  <si>
    <t xml:space="preserve">DMA1 S5/S6 bleiben für I²C frei</t>
  </si>
  <si>
    <t xml:space="preserve">Ohne NVIC bleibt die Konsole taub</t>
  </si>
  <si>
    <t xml:space="preserve">Noch nicht konfiguriert (Woche 8+)</t>
  </si>
  <si>
    <t xml:space="preserve">SPI1</t>
  </si>
  <si>
    <t xml:space="preserve">PB3/PB4/PB5, CS PA4</t>
  </si>
  <si>
    <t xml:space="preserve">–</t>
  </si>
  <si>
    <t xml:space="preserve">Full-Duplex Master, /8 → 11,25 MHz, DMA2 S0/S3</t>
  </si>
  <si>
    <t xml:space="preserve">IMU ICM-42688-P</t>
  </si>
  <si>
    <t xml:space="preserve">I2C1 / I2C2</t>
  </si>
  <si>
    <t xml:space="preserve">PB8/PB9 · PB10/PC12</t>
  </si>
  <si>
    <t xml:space="preserve">Fast Mode 400 kHz</t>
  </si>
  <si>
    <t xml:space="preserve">VL53L1X #1–4 / #5–8</t>
  </si>
  <si>
    <t xml:space="preserve">ADC1</t>
  </si>
  <si>
    <t xml:space="preserve">PA0, PC4, PC5</t>
  </si>
  <si>
    <t xml:space="preserve">Scan 3 Kanäle, 480 Zyklen, DMA2 S4 circular</t>
  </si>
  <si>
    <t xml:space="preserve">DMA-IRQ abschalten</t>
  </si>
  <si>
    <t xml:space="preserve">IWDG</t>
  </si>
  <si>
    <t xml:space="preserve">LSI, Prescaler 32, Reload 100 (~100 ms)</t>
  </si>
  <si>
    <t xml:space="preserve">nur wenn Code refresht; __HAL_DBGMCU_FREEZE_IWDG()</t>
  </si>
  <si>
    <t xml:space="preserve">Priority Group: 4 bits for pre-emption priority, 0 bits for subpriority</t>
  </si>
  <si>
    <t xml:space="preserve">Interrupt</t>
  </si>
  <si>
    <t xml:space="preserve">Aktiv</t>
  </si>
  <si>
    <t xml:space="preserve">Preemption</t>
  </si>
  <si>
    <t xml:space="preserve">Sub</t>
  </si>
  <si>
    <t xml:space="preserve">Priority Group</t>
  </si>
  <si>
    <t xml:space="preserve">4 bits pre-emption</t>
  </si>
  <si>
    <t xml:space="preserve">Stand vorher „0 bits“ → nur Prio 0 wählbar</t>
  </si>
  <si>
    <t xml:space="preserve">Time base: System tick timer</t>
  </si>
  <si>
    <t xml:space="preserve">ja</t>
  </si>
  <si>
    <t xml:space="preserve">0 = HAL_GetTick läuft auch, wenn eine ISR auf einen HAL-Timeout wartet</t>
  </si>
  <si>
    <t xml:space="preserve">TIM6 global / DAC underrun</t>
  </si>
  <si>
    <t xml:space="preserve">Regeltakt</t>
  </si>
  <si>
    <t xml:space="preserve">USART1 global</t>
  </si>
  <si>
    <t xml:space="preserve">HC-12</t>
  </si>
  <si>
    <t xml:space="preserve">USART2 global</t>
  </si>
  <si>
    <t xml:space="preserve">TIM2 global</t>
  </si>
  <si>
    <t xml:space="preserve">in .ioc prüfen</t>
  </si>
  <si>
    <t xml:space="preserve">TIM2_IRQHandler existiert; im Code ungenutzt</t>
  </si>
  <si>
    <t xml:space="preserve">EXTI line[15:10]</t>
  </si>
  <si>
    <t xml:space="preserve">unbekannt</t>
  </si>
  <si>
    <t xml:space="preserve">PC13/B1; HAL_GPIO_EXTI_Callback ist leer</t>
  </si>
  <si>
    <t xml:space="preserve">Force DMA channels Interrupts</t>
  </si>
  <si>
    <t xml:space="preserve">an (Default)</t>
  </si>
  <si>
    <t xml:space="preserve">Später für ADC-DMA abwählen</t>
  </si>
  <si>
    <t xml:space="preserve">Firmware-Konstanten (main.c, USER CODE BEGIN PD)</t>
  </si>
  <si>
    <t xml:space="preserve">Blau = Wert im Code · schwarz = daraus berechnet · Stand nach den Änderungen vom 08.10.</t>
  </si>
  <si>
    <t xml:space="preserve">Konstante</t>
  </si>
  <si>
    <t xml:space="preserve">Mechanik</t>
  </si>
  <si>
    <t xml:space="preserve">WHEEL_DIAMETER_MM</t>
  </si>
  <si>
    <t xml:space="preserve">mm</t>
  </si>
  <si>
    <t xml:space="preserve">Abrolldurchmesser, kalibriert mit D1000 (real 955 mm bei 76 mm). Gilt zusammen mit CPR 3584!</t>
  </si>
  <si>
    <t xml:space="preserve">WHEEL_BASE_MM</t>
  </si>
  <si>
    <t xml:space="preserve">noch ungenutzt (Odometrie)</t>
  </si>
  <si>
    <t xml:space="preserve">COUNTS_PER_WHEEL_REV</t>
  </si>
  <si>
    <t xml:space="preserve">Counts</t>
  </si>
  <si>
    <t xml:space="preserve">Gemeinsam für beide Räder. Gemessen: L 3595, R 3618</t>
  </si>
  <si>
    <t xml:space="preserve">MM_PER_COUNT (berechnet)</t>
  </si>
  <si>
    <t xml:space="preserve">nur das Verhältnis D/CPR ist kalibriert</t>
  </si>
  <si>
    <t xml:space="preserve">D bei CPR pro Rad (berechnet)</t>
  </si>
  <si>
    <t xml:space="preserve">Bei Umstellung auf CPR pro Rad diesen Durchmesser eintragen (~73,0)</t>
  </si>
  <si>
    <t xml:space="preserve">Vorzeichen</t>
  </si>
  <si>
    <t xml:space="preserve">ENC_L_SIGN / ENC_R_SIGN</t>
  </si>
  <si>
    <t xml:space="preserve">+1 / −1</t>
  </si>
  <si>
    <t xml:space="preserve">vorwärts → positive Counts</t>
  </si>
  <si>
    <t xml:space="preserve">MOT_L_SIGN / MOT_R_SIGN</t>
  </si>
  <si>
    <t xml:space="preserve">−1 / +1</t>
  </si>
  <si>
    <t xml:space="preserve">positive Duty → vorwärts</t>
  </si>
  <si>
    <t xml:space="preserve">PWM und Regeltakt</t>
  </si>
  <si>
    <t xml:space="preserve">PWM_FREQ_HZ</t>
  </si>
  <si>
    <t xml:space="preserve">BTS7960 bis 25 kHz</t>
  </si>
  <si>
    <t xml:space="preserve">CTRL_PERIOD_S</t>
  </si>
  <si>
    <t xml:space="preserve">s</t>
  </si>
  <si>
    <t xml:space="preserve">Muss zu TIM6 passen (50 Hz → Period 199)</t>
  </si>
  <si>
    <t xml:space="preserve">SPEED_FILTER_ALPHA</t>
  </si>
  <si>
    <t xml:space="preserve">Vorsteuerung pro Rad (gemessen, Bench Woche 5)</t>
  </si>
  <si>
    <t xml:space="preserve">KV_L</t>
  </si>
  <si>
    <t xml:space="preserve">Duty/rpm</t>
  </si>
  <si>
    <t xml:space="preserve">Laufkennlinie, R² &gt; 0,999</t>
  </si>
  <si>
    <t xml:space="preserve">KS_L</t>
  </si>
  <si>
    <t xml:space="preserve">Duty</t>
  </si>
  <si>
    <t xml:space="preserve">Achsabschnitt = Gleitreibung</t>
  </si>
  <si>
    <t xml:space="preserve">KV_R</t>
  </si>
  <si>
    <t xml:space="preserve">KS_R</t>
  </si>
  <si>
    <t xml:space="preserve">ks_break L / R (optional)</t>
  </si>
  <si>
    <t xml:space="preserve">14,1 / 16,9</t>
  </si>
  <si>
    <t xml:space="preserve">%</t>
  </si>
  <si>
    <t xml:space="preserve">Losbrech-Duty = Haftreibung. Nur in Variante B (Umschaltung bei |v| &lt; V_MOVING). Welche Variante eingebaut ist, im Code prüfen.</t>
  </si>
  <si>
    <t xml:space="preserve">Kv L in %/(mm/s) (berechnet)</t>
  </si>
  <si>
    <t xml:space="preserve">%/(mm/s)</t>
  </si>
  <si>
    <t xml:space="preserve">entspricht KV_PCT_PER_MMS(KV_L)</t>
  </si>
  <si>
    <t xml:space="preserve">Kv R in %/(mm/s) (berechnet)</t>
  </si>
  <si>
    <t xml:space="preserve">v_max L bei 100 % (berechnet)</t>
  </si>
  <si>
    <t xml:space="preserve">mm/s</t>
  </si>
  <si>
    <t xml:space="preserve">ohne Last, Bench-Spannung</t>
  </si>
  <si>
    <t xml:space="preserve">v_max R bei 100 % (berechnet)</t>
  </si>
  <si>
    <t xml:space="preserve">begrenzendes Rad</t>
  </si>
  <si>
    <t xml:space="preserve">Empfohlene Obergrenze (berechnet)</t>
  </si>
  <si>
    <t xml:space="preserve">75 % des schwächeren Rads bei leerem Akku (10,5 V statt 12 V)</t>
  </si>
  <si>
    <t xml:space="preserve">Referenzwerte (nicht im Code)</t>
  </si>
  <si>
    <t xml:space="preserve">Gemessene CPR L</t>
  </si>
  <si>
    <t xml:space="preserve">Bench, Mittel aus 3 Umdrehungen</t>
  </si>
  <si>
    <t xml:space="preserve">Gemessene CPR R</t>
  </si>
  <si>
    <t xml:space="preserve">Start / Kick</t>
  </si>
  <si>
    <t xml:space="preserve">KICK_DUTY_PCT / KICK_TICKS</t>
  </si>
  <si>
    <t xml:space="preserve">40 / 5</t>
  </si>
  <si>
    <t xml:space="preserve">% / Ticks</t>
  </si>
  <si>
    <t xml:space="preserve">max. 100 ms, nur einmal pro Fahrt</t>
  </si>
  <si>
    <t xml:space="preserve">V_MOVING_MM_S / V_ZERO_MM_S</t>
  </si>
  <si>
    <t xml:space="preserve">8 / 2</t>
  </si>
  <si>
    <t xml:space="preserve">PI-Drehzahlregler</t>
  </si>
  <si>
    <t xml:space="preserve">KP_SPEED</t>
  </si>
  <si>
    <t xml:space="preserve">KI_SPEED</t>
  </si>
  <si>
    <t xml:space="preserve">%/(mm/s·s)</t>
  </si>
  <si>
    <t xml:space="preserve">Erhöhen, falls das Fahrzeug vor dem Ziel stehen bleibt</t>
  </si>
  <si>
    <t xml:space="preserve">INTEG_MAX_PCT</t>
  </si>
  <si>
    <t xml:space="preserve">Anti-Windup</t>
  </si>
  <si>
    <t xml:space="preserve">Positionsführung / Ende der Fahrt</t>
  </si>
  <si>
    <t xml:space="preserve">KP_POS</t>
  </si>
  <si>
    <t xml:space="preserve">(mm/s)/mm</t>
  </si>
  <si>
    <t xml:space="preserve">V_CORR_MAX_MM_S</t>
  </si>
  <si>
    <t xml:space="preserve">SETTLE_V_MM_S</t>
  </si>
  <si>
    <t xml:space="preserve">POS_TOL_MM</t>
  </si>
  <si>
    <t xml:space="preserve">SETTLE_TICKS</t>
  </si>
  <si>
    <t xml:space="preserve">Ticks</t>
  </si>
  <si>
    <t xml:space="preserve">1 s bei 50 Hz. Danach DONE auch ohne Ziel (Timeout-Patch offen)</t>
  </si>
  <si>
    <t xml:space="preserve">FAULT_TICKS</t>
  </si>
  <si>
    <t xml:space="preserve">0,6 s</t>
  </si>
  <si>
    <t xml:space="preserve">Grenzen / Bedienung</t>
  </si>
  <si>
    <t xml:space="preserve">V_NOM_DEFAULT</t>
  </si>
  <si>
    <t xml:space="preserve">V_NOM_MAX</t>
  </si>
  <si>
    <t xml:space="preserve">ändern</t>
  </si>
  <si>
    <t xml:space="preserve">Auf 500 senken (Antrieb schafft ~650), Fehlermeldungstext anpassen</t>
  </si>
  <si>
    <t xml:space="preserve">ACC_MS_DEFAULT / DEC_MS_DEFAULT</t>
  </si>
  <si>
    <t xml:space="preserve">1000 / 1000</t>
  </si>
  <si>
    <t xml:space="preserve">MIN_DIST_MM / MAX_DIST_MM</t>
  </si>
  <si>
    <t xml:space="preserve">5 / 20000</t>
  </si>
  <si>
    <t xml:space="preserve">DEADMAN_MS</t>
  </si>
  <si>
    <t xml:space="preserve">nur im Open Loop; Enter zählt als Lebenszeichen</t>
  </si>
  <si>
    <t xml:space="preserve">AUTO_PRINT_MS</t>
  </si>
  <si>
    <t xml:space="preserve">RX_LINE_MAX</t>
  </si>
  <si>
    <t xml:space="preserve">Zeichen</t>
  </si>
  <si>
    <t xml:space="preserve">Verdrahtung, HC-12 und serielle Ports</t>
  </si>
  <si>
    <t xml:space="preserve">Von</t>
  </si>
  <si>
    <t xml:space="preserve">Nach</t>
  </si>
  <si>
    <t xml:space="preserve">HC-12 am Fahrzeug (Stiftleiste: VCC – GND – RXD – TXD – SET)</t>
  </si>
  <si>
    <t xml:space="preserve">HC-12 VCC</t>
  </si>
  <si>
    <t xml:space="preserve">3V3</t>
  </si>
  <si>
    <t xml:space="preserve">CN7-16</t>
  </si>
  <si>
    <t xml:space="preserve">Nur EINE 3,3-V-Quelle (Nucleo-3V3 ODER AMS1117, nie beide)</t>
  </si>
  <si>
    <t xml:space="preserve">HC-12 GND</t>
  </si>
  <si>
    <t xml:space="preserve">GND</t>
  </si>
  <si>
    <t xml:space="preserve">z. B. CN7-8</t>
  </si>
  <si>
    <t xml:space="preserve">HC-12 RXD</t>
  </si>
  <si>
    <t xml:space="preserve">PB6 (USART1_TX)</t>
  </si>
  <si>
    <t xml:space="preserve">über Kreuz</t>
  </si>
  <si>
    <t xml:space="preserve">HC-12 TXD</t>
  </si>
  <si>
    <t xml:space="preserve">PB7 (USART1_RX)</t>
  </si>
  <si>
    <t xml:space="preserve">HC-12 SET</t>
  </si>
  <si>
    <t xml:space="preserve">PC9 (HC12_Set)</t>
  </si>
  <si>
    <t xml:space="preserve">High = transparent; interner Pull-up im Modul</t>
  </si>
  <si>
    <t xml:space="preserve">BTS7960 links / rechts</t>
  </si>
  <si>
    <t xml:space="preserve">L: RPWM / LPWM</t>
  </si>
  <si>
    <t xml:space="preserve">PA8 / PA9</t>
  </si>
  <si>
    <t xml:space="preserve">CN10-23 / CN10-21</t>
  </si>
  <si>
    <t xml:space="preserve">L: R_EN + L_EN (gebrückt)</t>
  </si>
  <si>
    <t xml:space="preserve">PB12 (EN_L)</t>
  </si>
  <si>
    <t xml:space="preserve">externer 10 kΩ nach GND</t>
  </si>
  <si>
    <t xml:space="preserve">R: RPWM / LPWM</t>
  </si>
  <si>
    <t xml:space="preserve">PA10 / PA11</t>
  </si>
  <si>
    <t xml:space="preserve">CN10-33 / CN10-14</t>
  </si>
  <si>
    <t xml:space="preserve">R: R_EN + L_EN (gebrückt)</t>
  </si>
  <si>
    <t xml:space="preserve">PB13 (EN_R)</t>
  </si>
  <si>
    <t xml:space="preserve">BTS7960 VCC (Logik)</t>
  </si>
  <si>
    <t xml:space="preserve">3,3 V</t>
  </si>
  <si>
    <t xml:space="preserve">setzt die Eingangsschwelle auf ~2,3 V</t>
  </si>
  <si>
    <t xml:space="preserve">Encoder L: A / B</t>
  </si>
  <si>
    <t xml:space="preserve">PA6 / PA7</t>
  </si>
  <si>
    <t xml:space="preserve">CN10-13 / CN10-15</t>
  </si>
  <si>
    <t xml:space="preserve">V+ an 3,3 V. V+ erkennt man an ~3 kΩ zu A UND B</t>
  </si>
  <si>
    <t xml:space="preserve">Encoder R: A / B</t>
  </si>
  <si>
    <t xml:space="preserve">PC6 / PC7</t>
  </si>
  <si>
    <t xml:space="preserve">CN10-4 / CN10-19</t>
  </si>
  <si>
    <t xml:space="preserve">A/B-Paar von Hand verdrillen</t>
  </si>
  <si>
    <t xml:space="preserve">Versorgung Nucleo</t>
  </si>
  <si>
    <t xml:space="preserve">Bench</t>
  </si>
  <si>
    <t xml:space="preserve">USB, JP5 auf U5V</t>
  </si>
  <si>
    <t xml:space="preserve">JP6 (IDD) und beide CN2-Jumper gesteckt</t>
  </si>
  <si>
    <t xml:space="preserve">Fahrzeug</t>
  </si>
  <si>
    <t xml:space="preserve">XY-3606 5 V → E5V (CN7-6), JP5 auf E5V</t>
  </si>
  <si>
    <t xml:space="preserve">Externe 5 V VOR dem USB-Kabel anlegen. Nicht VIN.</t>
  </si>
  <si>
    <t xml:space="preserve">BOOT0-Notfall</t>
  </si>
  <si>
    <t xml:space="preserve">CN7-7 → CN7-5 (VDD)</t>
  </si>
  <si>
    <t xml:space="preserve">Nur zur Rettung; danach Kabel ZIEHEN, sonst startet die Firmware nicht</t>
  </si>
  <si>
    <t xml:space="preserve">HC-12-Einstellungen (AT+RX)</t>
  </si>
  <si>
    <t xml:space="preserve">Modul</t>
  </si>
  <si>
    <t xml:space="preserve">Baud</t>
  </si>
  <si>
    <t xml:space="preserve">Kanal</t>
  </si>
  <si>
    <t xml:space="preserve">FU</t>
  </si>
  <si>
    <t xml:space="preserve">Sendeleistung</t>
  </si>
  <si>
    <t xml:space="preserve">C001</t>
  </si>
  <si>
    <t xml:space="preserve">FU3</t>
  </si>
  <si>
    <t xml:space="preserve">P4 = +8 dBm</t>
  </si>
  <si>
    <t xml:space="preserve">Reduziert für Tischtests; für den Rundkurs AT+P8 (+20 dBm)</t>
  </si>
  <si>
    <t xml:space="preserve">Bodenstation</t>
  </si>
  <si>
    <t xml:space="preserve">+20 dBm (Werk)</t>
  </si>
  <si>
    <t xml:space="preserve">Baud/Kanal/FU müssen gleich sein, Leistung nicht</t>
  </si>
  <si>
    <t xml:space="preserve">AT-Modus: SET auf GND, ~40 ms warten, Befehl am Stück senden (python ~/hc12_at.py &lt;port&gt;, nicht screen). Danach SET lösen, ~80 ms. Kanal am Kurstag mit anderen Teams abstimmen (AT+C0xx).</t>
  </si>
  <si>
    <t xml:space="preserve">Serielle Ports am Mac</t>
  </si>
  <si>
    <t xml:space="preserve">Port</t>
  </si>
  <si>
    <t xml:space="preserve">Weg</t>
  </si>
  <si>
    <t xml:space="preserve">/dev/cu.usbmodem…</t>
  </si>
  <si>
    <t xml:space="preserve">ST-Link → USART2</t>
  </si>
  <si>
    <t xml:space="preserve">screen /dev/cu.usbmodem&lt;n&gt; 115200</t>
  </si>
  <si>
    <t xml:space="preserve">/dev/cu.usbserial-AQ1MF0GG</t>
  </si>
  <si>
    <t xml:space="preserve">FT232RL → HC-12 → Funk → USART1</t>
  </si>
  <si>
    <t xml:space="preserve">FTDI-Jumper 5 V, wenn das Boden-HC-12 aus dem FTDI-VCC versorgt wird (3,3-V-Ausgang liefert nur ~50 mA). 3,3 V, wenn das FTDI direkt am STM32 hängt.</t>
  </si>
  <si>
    <t xml:space="preserve">screen beenden: Ctrl-A, K, y. Port immer nur einmal öffnen.</t>
  </si>
  <si>
    <t xml:space="preserve">Bench = L298-Treiber am Netzteil ohne Last (Woche 5) · Fahrzeug = BTS7960, 08.10.</t>
  </si>
  <si>
    <t xml:space="preserve">Messung</t>
  </si>
  <si>
    <t xml:space="preserve">Links</t>
  </si>
  <si>
    <t xml:space="preserve">Rechts</t>
  </si>
  <si>
    <t xml:space="preserve">Bedingungen</t>
  </si>
  <si>
    <t xml:space="preserve">Bemerkung</t>
  </si>
  <si>
    <t xml:space="preserve">Bench (Woche 5)</t>
  </si>
  <si>
    <t xml:space="preserve">Kv (Laufkennlinie)</t>
  </si>
  <si>
    <t xml:space="preserve">2 Sweeps, 9 Stufen 20–100 %</t>
  </si>
  <si>
    <t xml:space="preserve">R² &gt; 0,999</t>
  </si>
  <si>
    <t xml:space="preserve">Ks (Achsabschnitt, Gleitreibung)</t>
  </si>
  <si>
    <t xml:space="preserve">Losbrech-Duty (Haftreibung)</t>
  </si>
  <si>
    <t xml:space="preserve">3–4 Wiederholungen</t>
  </si>
  <si>
    <t xml:space="preserve">Streuung ±5 %</t>
  </si>
  <si>
    <t xml:space="preserve">Leerlaufdrehzahl bei 100 %</t>
  </si>
  <si>
    <t xml:space="preserve">rpm</t>
  </si>
  <si>
    <t xml:space="preserve">Counts pro Abtriebsumdrehung</t>
  </si>
  <si>
    <t xml:space="preserve">3 Umdrehungen von Hand</t>
  </si>
  <si>
    <t xml:space="preserve">Nennwert 3603</t>
  </si>
  <si>
    <t xml:space="preserve">Getriebeübersetzung</t>
  </si>
  <si>
    <t xml:space="preserve">Unterschied 0,64 % → Kursfehler</t>
  </si>
  <si>
    <t xml:space="preserve">Encoder-Widerstand A–B</t>
  </si>
  <si>
    <t xml:space="preserve">kΩ</t>
  </si>
  <si>
    <t xml:space="preserve">symmetrisch</t>
  </si>
  <si>
    <t xml:space="preserve">2 × ~3 kΩ Pull-up über V+</t>
  </si>
  <si>
    <t xml:space="preserve">Fahrzeug 08.10.</t>
  </si>
  <si>
    <t xml:space="preserve">Open Loop 60 %, Boden</t>
  </si>
  <si>
    <t xml:space="preserve">real, aus Positionszuwachs</t>
  </si>
  <si>
    <t xml:space="preserve">Bench-Modell L sagt ~379 voraus</t>
  </si>
  <si>
    <t xml:space="preserve">D1000 mit TIM6 = 1 kHz (falsch)</t>
  </si>
  <si>
    <t xml:space="preserve">mm (Firmware)</t>
  </si>
  <si>
    <t xml:space="preserve">Takt 20× zu schnell → Profil zu kurz</t>
  </si>
  <si>
    <t xml:space="preserve">D1000 mit 90 MHz Systemtakt</t>
  </si>
  <si>
    <t xml:space="preserve">TIM6 41,7 Hz</t>
  </si>
  <si>
    <t xml:space="preserve">Settle-Timeout 5,5 mm vor Ziel</t>
  </si>
  <si>
    <t xml:space="preserve">D1000 nach Takt-Fix</t>
  </si>
  <si>
    <t xml:space="preserve">D = 76 mm im Code</t>
  </si>
  <si>
    <t xml:space="preserve">real 955 mm gemessen</t>
  </si>
  <si>
    <t xml:space="preserve">→ Abrolldurchmesser</t>
  </si>
  <si>
    <t xml:space="preserve">bei CPR 3584</t>
  </si>
  <si>
    <t xml:space="preserve">eingetragen: 72,6</t>
  </si>
  <si>
    <t xml:space="preserve">D2000 mit V800, kurze Rampen</t>
  </si>
  <si>
    <t xml:space="preserve">T = 2800 ms</t>
  </si>
  <si>
    <t xml:space="preserve">Sättigung: 800 mm/s &gt; Antriebsgrenze</t>
  </si>
  <si>
    <t xml:space="preserve">Reihenfolge = Priorität</t>
  </si>
  <si>
    <t xml:space="preserve">#</t>
  </si>
  <si>
    <t xml:space="preserve">Priorität</t>
  </si>
  <si>
    <t xml:space="preserve">Punkt</t>
  </si>
  <si>
    <t xml:space="preserve">Warum</t>
  </si>
  <si>
    <t xml:space="preserve">Wie prüfen / erledigen</t>
  </si>
  <si>
    <t xml:space="preserve">hoch</t>
  </si>
  <si>
    <t xml:space="preserve">TIM6 Counter Period = 199</t>
  </si>
  <si>
    <t xml:space="preserve">Bei 119 läuft der Regler mit 83 Hz statt 50 Hz; Geschwindigkeit, Rampen und Settle-Zeit stimmen nicht</t>
  </si>
  <si>
    <t xml:space="preserve">CubeMX → TIM6 → 199, generieren, Refresh, flashen. Zusätzlich Startausgabe „Control loop … Hz“ in Car_Init einbauen</t>
  </si>
  <si>
    <t xml:space="preserve">Ende der Fahrt mit Ks-Achsabschnitt testen</t>
  </si>
  <si>
    <t xml:space="preserve">Mit 11/12,7 % kann das Rad kurz vor dem Ziel stehen bleiben (Haftreibung 14,1/16,9 %)</t>
  </si>
  <si>
    <t xml:space="preserve">Mehrmals D1000 und D300: Ende innerhalb 2 mm? Sonst Variante B (ks_break) einbauen oder KI_SPEED erhöhen</t>
  </si>
  <si>
    <t xml:space="preserve">Akkubetrieb ohne USB testen</t>
  </si>
  <si>
    <t xml:space="preserve">HSE BYPASS braucht das MCO des ST-Link; ohne USB evtl. kein Takt → Error_Handler</t>
  </si>
  <si>
    <t xml:space="preserve">Nur über E5V versorgen, ohne USB starten. Falls kein Start: 8-MHz-Quarz auf X3 (UM1724) und HSE auf Crystal</t>
  </si>
  <si>
    <t xml:space="preserve">Ursache des heißen AMS1117 klären</t>
  </si>
  <si>
    <t xml:space="preserve">Trat mit angeschlossenem HC-12 auf; zog auch die 3,3 V des Nucleo herunter</t>
  </si>
  <si>
    <t xml:space="preserve">VIN des Reglers messen (5 V?), HC-12 nur an einer Quelle, HC-12 am Netzteil 3,3 V/150 mA: ~16 mA erwartet</t>
  </si>
  <si>
    <t xml:space="preserve">mittel</t>
  </si>
  <si>
    <t xml:space="preserve">V_NOM_MAX auf 500</t>
  </si>
  <si>
    <t xml:space="preserve">Antrieb schafft ~650 mm/s ohne Last; V800 lief in die Sättigung</t>
  </si>
  <si>
    <t xml:space="preserve">#define V_NOM_MAX 500L und Text in Serial_HandleCommand anpassen</t>
  </si>
  <si>
    <t xml:space="preserve">TIMEOUT-Meldung</t>
  </si>
  <si>
    <t xml:space="preserve">DONE kommt auch, wenn der Settle-Timeout greift → irreführend</t>
  </si>
  <si>
    <t xml:space="preserve">EVT_TIMEOUT 3U, in Control_Tick evt = in_tol ? EVT_DONE : EVT_TIMEOUT, Ausgabe in Car_Loop</t>
  </si>
  <si>
    <t xml:space="preserve">CPR pro Rad (3595 / 3618)</t>
  </si>
  <si>
    <t xml:space="preserve">Gemeinsame CPR → ~1,7°/m Kursfehler, auf 5 m ~35 cm seitlich</t>
  </si>
  <si>
    <t xml:space="preserve">MM_PER_COUNT_L/_R + Feld mmpc im Wheel_t; dann WHEEL_DIAMETER_MM auf ~73,0 anheben</t>
  </si>
  <si>
    <t xml:space="preserve">Geradeauslauf messen</t>
  </si>
  <si>
    <t xml:space="preserve">Prüft Punkt 7 und Raddurchmesser-Unterschiede</t>
  </si>
  <si>
    <t xml:space="preserve">D5000 entlang einer Linie, seitlichen Versatz messen</t>
  </si>
  <si>
    <t xml:space="preserve">Geschwindigkeitsgrenze messen</t>
  </si>
  <si>
    <t xml:space="preserve">Reale Grenze mit Last und Akkuspannung</t>
  </si>
  <si>
    <t xml:space="preserve">T1000, D3000 mit V300/400/450/500, voller und fast leerer Akku; 80 % der ersten fehlschlagenden Stufe</t>
  </si>
  <si>
    <t xml:space="preserve">HSE Startup Timeout 1000 ms</t>
  </si>
  <si>
    <t xml:space="preserve">Firmware startet sonst evtl. nicht beim Einschalten</t>
  </si>
  <si>
    <t xml:space="preserve">CubeMX → RCC → Parameter Settings</t>
  </si>
  <si>
    <t xml:space="preserve">Build-Flags</t>
  </si>
  <si>
    <t xml:space="preserve">-Wdouble-promotion fehlt im neuen Projekt; -Og statt -O0</t>
  </si>
  <si>
    <t xml:space="preserve">Properties → C/C++ Build → Settings; git diff .cproject nach jeder Regeneration</t>
  </si>
  <si>
    <t xml:space="preserve">Error_Handler stoppt Motoren</t>
  </si>
  <si>
    <t xml:space="preserve">Bleibt sonst mit laufender PWM und EN = High hängen</t>
  </si>
  <si>
    <t xml:space="preserve">In USER CODE Error_Handler_Debug: GPIOB-&gt;BSRR = (GPIO_PIN_12|GPIO_PIN_13) &lt;&lt; 16 und CCR1–4 = 0</t>
  </si>
  <si>
    <t xml:space="preserve">HC-12-Kanal abstimmen</t>
  </si>
  <si>
    <t xml:space="preserve">Alle Teams starten auf CH001</t>
  </si>
  <si>
    <t xml:space="preserve">Mit anderen Teams absprechen, AT+C0xx auf beiden Modulen</t>
  </si>
  <si>
    <t xml:space="preserve">niedrig</t>
  </si>
  <si>
    <t xml:space="preserve">Kv-Sweep auf BTS7960</t>
  </si>
  <si>
    <t xml:space="preserve">Bench-Kv stammt vom L298 ohne Last</t>
  </si>
  <si>
    <t xml:space="preserve">Open Loop 30/45/60/75 % mit a, mm/s pro Rad ablesen, linear fitten (erst nach Punkt 1)</t>
  </si>
  <si>
    <t xml:space="preserve">PB7 Pull-up und PH1 frei prüfen</t>
  </si>
  <si>
    <t xml:space="preserve">Stabile RX-Leitung; BYPASS braucht PH1 nicht</t>
  </si>
  <si>
    <t xml:space="preserve">stm32f4xx_hal_msp.c (HAL_UART_MspInit) und Pinout-Ansicht</t>
  </si>
  <si>
    <t xml:space="preserve">später</t>
  </si>
  <si>
    <t xml:space="preserve">CSS mit Callback</t>
  </si>
  <si>
    <t xml:space="preserve">Taktausfall im Lauf sonst stiller Totalausfall</t>
  </si>
  <si>
    <t xml:space="preserve">Enable CSS + HAL_RCC_CSSCallback, der EN_L/EN_R auf Low zieht</t>
  </si>
  <si>
    <t xml:space="preserve">TIM2 als 1-MHz-Zeitbasis</t>
  </si>
  <si>
    <t xml:space="preserve">Für IMU-Zeitstempel (Woche 8)</t>
  </si>
  <si>
    <t xml:space="preserve">PSC 89, HAL_TIM_Base_Start + IC_Start_IT</t>
  </si>
  <si>
    <t xml:space="preserve">SPI1, I2C1/2, ADC1, DMA, IWDG</t>
  </si>
  <si>
    <t xml:space="preserve">Sensorik ab Woche 8</t>
  </si>
  <si>
    <t xml:space="preserve">Werte siehe Blatt Peripherie und MR2006B_Pinout.xlsx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</si>
</sst>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0.00000"/>
    <numFmt numFmtId="168" formatCode="0.0000"/>
    <numFmt numFmtId="169" formatCode="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  <row r="11" customFormat="false" ht="23.85" hidden="false" customHeight="false" outlineLevel="0" collapsed="false">
      <c r="A11" s="3" t="s">
        <v>16</v>
      </c>
      <c r="B11" s="5" t="s">
        <v>17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3" t="s">
        <v>18</v>
      </c>
      <c r="B13" s="4"/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10</v>
      </c>
      <c r="B18" s="4" t="s">
        <v>27</v>
      </c>
    </row>
    <row r="19" customFormat="false" ht="15" hidden="false" customHeight="false" outlineLevel="0" collapsed="false">
      <c r="A19" s="3" t="s">
        <v>28</v>
      </c>
      <c r="B19" s="4" t="s">
        <v>29</v>
      </c>
    </row>
    <row r="20" customFormat="false" ht="15" hidden="false" customHeight="false" outlineLevel="0" collapsed="false">
      <c r="A20" s="3" t="s">
        <v>30</v>
      </c>
      <c r="B20" s="4" t="s">
        <v>31</v>
      </c>
    </row>
    <row r="21" customFormat="false" ht="15" hidden="false" customHeight="false" outlineLevel="0" collapsed="false">
      <c r="A21" s="3" t="s">
        <v>32</v>
      </c>
      <c r="B21" s="4" t="s">
        <v>33</v>
      </c>
    </row>
    <row r="22" customFormat="false" ht="15" hidden="false" customHeight="false" outlineLevel="0" collapsed="false">
      <c r="A22" s="3"/>
      <c r="B22" s="4"/>
    </row>
    <row r="23" customFormat="false" ht="15" hidden="false" customHeight="false" outlineLevel="0" collapsed="false">
      <c r="A23" s="3" t="s">
        <v>34</v>
      </c>
      <c r="B23" s="4" t="s">
        <v>35</v>
      </c>
    </row>
    <row r="24" customFormat="false" ht="23.85" hidden="false" customHeight="false" outlineLevel="0" collapsed="false">
      <c r="A24" s="3" t="s">
        <v>36</v>
      </c>
      <c r="B24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8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6" t="s">
        <v>40</v>
      </c>
      <c r="B3" s="6" t="s">
        <v>41</v>
      </c>
      <c r="C3" s="6" t="s">
        <v>42</v>
      </c>
      <c r="D3" s="6" t="s">
        <v>43</v>
      </c>
    </row>
    <row r="4" customFormat="false" ht="15" hidden="false" customHeight="false" outlineLevel="0" collapsed="false">
      <c r="A4" s="7" t="s">
        <v>44</v>
      </c>
      <c r="B4" s="8" t="n">
        <v>8</v>
      </c>
      <c r="C4" s="7" t="s">
        <v>45</v>
      </c>
      <c r="D4" s="7" t="s">
        <v>46</v>
      </c>
    </row>
    <row r="5" customFormat="false" ht="15" hidden="false" customHeight="false" outlineLevel="0" collapsed="false">
      <c r="A5" s="7" t="s">
        <v>47</v>
      </c>
      <c r="B5" s="8" t="s">
        <v>48</v>
      </c>
      <c r="C5" s="7"/>
      <c r="D5" s="7"/>
    </row>
    <row r="6" customFormat="false" ht="15" hidden="false" customHeight="false" outlineLevel="0" collapsed="false">
      <c r="A6" s="7" t="s">
        <v>49</v>
      </c>
      <c r="B6" s="8" t="n">
        <v>4</v>
      </c>
      <c r="C6" s="7"/>
      <c r="D6" s="7" t="s">
        <v>50</v>
      </c>
    </row>
    <row r="7" customFormat="false" ht="15" hidden="false" customHeight="false" outlineLevel="0" collapsed="false">
      <c r="A7" s="7" t="s">
        <v>51</v>
      </c>
      <c r="B7" s="8" t="n">
        <v>180</v>
      </c>
      <c r="C7" s="7"/>
      <c r="D7" s="7"/>
    </row>
    <row r="8" customFormat="false" ht="15" hidden="false" customHeight="false" outlineLevel="0" collapsed="false">
      <c r="A8" s="7" t="s">
        <v>52</v>
      </c>
      <c r="B8" s="8" t="n">
        <v>2</v>
      </c>
      <c r="C8" s="7"/>
      <c r="D8" s="7"/>
    </row>
    <row r="9" customFormat="false" ht="15" hidden="false" customHeight="false" outlineLevel="0" collapsed="false">
      <c r="A9" s="7" t="s">
        <v>53</v>
      </c>
      <c r="B9" s="8" t="s">
        <v>54</v>
      </c>
      <c r="C9" s="7"/>
      <c r="D9" s="7" t="s">
        <v>55</v>
      </c>
    </row>
    <row r="10" customFormat="false" ht="15" hidden="false" customHeight="false" outlineLevel="0" collapsed="false">
      <c r="A10" s="7" t="s">
        <v>56</v>
      </c>
      <c r="B10" s="8" t="n">
        <v>1</v>
      </c>
      <c r="C10" s="7"/>
      <c r="D10" s="7"/>
    </row>
    <row r="11" customFormat="false" ht="15" hidden="false" customHeight="false" outlineLevel="0" collapsed="false">
      <c r="A11" s="7" t="s">
        <v>57</v>
      </c>
      <c r="B11" s="8" t="n">
        <v>4</v>
      </c>
      <c r="C11" s="7"/>
      <c r="D11" s="7"/>
    </row>
    <row r="12" customFormat="false" ht="15" hidden="false" customHeight="false" outlineLevel="0" collapsed="false">
      <c r="A12" s="7" t="s">
        <v>58</v>
      </c>
      <c r="B12" s="8" t="n">
        <v>2</v>
      </c>
      <c r="C12" s="7"/>
      <c r="D12" s="7"/>
    </row>
    <row r="13" customFormat="false" ht="15" hidden="false" customHeight="false" outlineLevel="0" collapsed="false">
      <c r="A13" s="7" t="s">
        <v>59</v>
      </c>
      <c r="B13" s="9" t="n">
        <f aca="false">B4/B6</f>
        <v>2</v>
      </c>
      <c r="C13" s="7" t="s">
        <v>45</v>
      </c>
      <c r="D13" s="7" t="s">
        <v>60</v>
      </c>
    </row>
    <row r="14" customFormat="false" ht="15" hidden="false" customHeight="false" outlineLevel="0" collapsed="false">
      <c r="A14" s="7" t="s">
        <v>61</v>
      </c>
      <c r="B14" s="9" t="n">
        <f aca="false">B4/B6*B7/B8</f>
        <v>180</v>
      </c>
      <c r="C14" s="7" t="s">
        <v>45</v>
      </c>
      <c r="D14" s="7" t="s">
        <v>62</v>
      </c>
    </row>
    <row r="15" customFormat="false" ht="15" hidden="false" customHeight="false" outlineLevel="0" collapsed="false">
      <c r="A15" s="7" t="s">
        <v>63</v>
      </c>
      <c r="B15" s="9" t="n">
        <f aca="false">B14/B10</f>
        <v>180</v>
      </c>
      <c r="C15" s="7" t="s">
        <v>45</v>
      </c>
      <c r="D15" s="7" t="s">
        <v>64</v>
      </c>
    </row>
    <row r="16" customFormat="false" ht="15" hidden="false" customHeight="false" outlineLevel="0" collapsed="false">
      <c r="A16" s="7" t="s">
        <v>65</v>
      </c>
      <c r="B16" s="9" t="n">
        <f aca="false">B15/B11</f>
        <v>45</v>
      </c>
      <c r="C16" s="7" t="s">
        <v>45</v>
      </c>
      <c r="D16" s="7" t="s">
        <v>66</v>
      </c>
    </row>
    <row r="17" customFormat="false" ht="15" hidden="false" customHeight="false" outlineLevel="0" collapsed="false">
      <c r="A17" s="7" t="s">
        <v>67</v>
      </c>
      <c r="B17" s="9" t="n">
        <f aca="false">IF(B11=1,B16,2*B16)</f>
        <v>90</v>
      </c>
      <c r="C17" s="7" t="s">
        <v>45</v>
      </c>
      <c r="D17" s="7" t="s">
        <v>68</v>
      </c>
    </row>
    <row r="18" customFormat="false" ht="15" hidden="false" customHeight="false" outlineLevel="0" collapsed="false">
      <c r="A18" s="7" t="s">
        <v>69</v>
      </c>
      <c r="B18" s="9" t="n">
        <f aca="false">B15/B12</f>
        <v>90</v>
      </c>
      <c r="C18" s="7" t="s">
        <v>45</v>
      </c>
      <c r="D18" s="7" t="s">
        <v>70</v>
      </c>
    </row>
    <row r="19" customFormat="false" ht="15" hidden="false" customHeight="false" outlineLevel="0" collapsed="false">
      <c r="A19" s="7" t="s">
        <v>71</v>
      </c>
      <c r="B19" s="9" t="n">
        <f aca="false">IF(B12=1,B18,2*B18)</f>
        <v>180</v>
      </c>
      <c r="C19" s="7" t="s">
        <v>45</v>
      </c>
      <c r="D19" s="7" t="s">
        <v>72</v>
      </c>
    </row>
    <row r="20" customFormat="false" ht="15" hidden="false" customHeight="false" outlineLevel="0" collapsed="false">
      <c r="A20" s="7" t="s">
        <v>73</v>
      </c>
      <c r="B20" s="8" t="s">
        <v>74</v>
      </c>
      <c r="C20" s="7"/>
      <c r="D20" s="7" t="s">
        <v>75</v>
      </c>
    </row>
    <row r="21" customFormat="false" ht="15" hidden="false" customHeight="false" outlineLevel="0" collapsed="false">
      <c r="A21" s="7" t="s">
        <v>76</v>
      </c>
      <c r="B21" s="8" t="s">
        <v>77</v>
      </c>
      <c r="C21" s="7"/>
      <c r="D21" s="7" t="s">
        <v>78</v>
      </c>
    </row>
    <row r="22" customFormat="false" ht="15" hidden="false" customHeight="false" outlineLevel="0" collapsed="false">
      <c r="A22" s="7" t="s">
        <v>79</v>
      </c>
      <c r="B22" s="8" t="n">
        <v>32</v>
      </c>
      <c r="C22" s="7" t="s">
        <v>80</v>
      </c>
      <c r="D22" s="7" t="s">
        <v>81</v>
      </c>
    </row>
    <row r="23" customFormat="false" ht="23.85" hidden="false" customHeight="false" outlineLevel="0" collapsed="false">
      <c r="A23" s="7" t="s">
        <v>82</v>
      </c>
      <c r="B23" s="8" t="s">
        <v>77</v>
      </c>
      <c r="C23" s="7"/>
      <c r="D23" s="7" t="s">
        <v>83</v>
      </c>
    </row>
    <row r="24" customFormat="false" ht="23.85" hidden="false" customHeight="false" outlineLevel="0" collapsed="false">
      <c r="A24" s="7" t="s">
        <v>84</v>
      </c>
      <c r="B24" s="8" t="n">
        <v>1000</v>
      </c>
      <c r="C24" s="7" t="s">
        <v>85</v>
      </c>
      <c r="D24" s="10" t="s">
        <v>86</v>
      </c>
    </row>
    <row r="26" customFormat="false" ht="15" hidden="false" customHeight="false" outlineLevel="0" collapsed="false">
      <c r="A26" s="11" t="s">
        <v>87</v>
      </c>
    </row>
    <row r="27" customFormat="false" ht="15" hidden="false" customHeight="false" outlineLevel="0" collapsed="false">
      <c r="A27" s="12" t="s">
        <v>88</v>
      </c>
      <c r="B27" s="12" t="s">
        <v>89</v>
      </c>
      <c r="C27" s="12" t="s">
        <v>90</v>
      </c>
      <c r="D27" s="12" t="s">
        <v>91</v>
      </c>
      <c r="E27" s="12" t="s">
        <v>92</v>
      </c>
      <c r="F27" s="12" t="s">
        <v>42</v>
      </c>
      <c r="G27" s="12" t="s">
        <v>43</v>
      </c>
    </row>
    <row r="28" customFormat="false" ht="15" hidden="false" customHeight="false" outlineLevel="0" collapsed="false">
      <c r="A28" s="7" t="s">
        <v>93</v>
      </c>
      <c r="B28" s="9" t="n">
        <f aca="false">B19</f>
        <v>180</v>
      </c>
      <c r="C28" s="8" t="n">
        <v>0</v>
      </c>
      <c r="D28" s="8" t="n">
        <v>35999</v>
      </c>
      <c r="E28" s="13" t="n">
        <f aca="false">B28*1000000/((C28+1)*(D28+1))/1000</f>
        <v>5</v>
      </c>
      <c r="F28" s="7" t="s">
        <v>80</v>
      </c>
      <c r="G28" s="7" t="s">
        <v>94</v>
      </c>
    </row>
    <row r="29" customFormat="false" ht="15" hidden="false" customHeight="false" outlineLevel="0" collapsed="false">
      <c r="A29" s="7" t="s">
        <v>95</v>
      </c>
      <c r="B29" s="9" t="n">
        <f aca="false">B19</f>
        <v>180</v>
      </c>
      <c r="C29" s="8" t="n">
        <v>0</v>
      </c>
      <c r="D29" s="8" t="n">
        <v>8999</v>
      </c>
      <c r="E29" s="13" t="n">
        <f aca="false">B29*1000000/((C29+1)*(D29+1))/1000</f>
        <v>20</v>
      </c>
      <c r="F29" s="7" t="s">
        <v>80</v>
      </c>
      <c r="G29" s="7" t="s">
        <v>96</v>
      </c>
    </row>
    <row r="30" customFormat="false" ht="23.85" hidden="false" customHeight="false" outlineLevel="0" collapsed="false">
      <c r="A30" s="7" t="s">
        <v>97</v>
      </c>
      <c r="B30" s="9" t="n">
        <f aca="false">B17</f>
        <v>90</v>
      </c>
      <c r="C30" s="8" t="n">
        <v>0</v>
      </c>
      <c r="D30" s="8" t="n">
        <v>4294967295</v>
      </c>
      <c r="E30" s="13" t="n">
        <f aca="false">B30*1000000/((C30+1)*(D30+1))/1</f>
        <v>0.0209547579288483</v>
      </c>
      <c r="F30" s="7" t="s">
        <v>98</v>
      </c>
      <c r="G30" s="7" t="s">
        <v>99</v>
      </c>
    </row>
    <row r="31" customFormat="false" ht="15" hidden="false" customHeight="false" outlineLevel="0" collapsed="false">
      <c r="A31" s="7" t="s">
        <v>100</v>
      </c>
      <c r="B31" s="9" t="n">
        <f aca="false">B17</f>
        <v>90</v>
      </c>
      <c r="C31" s="8" t="n">
        <v>8999</v>
      </c>
      <c r="D31" s="8" t="n">
        <v>119</v>
      </c>
      <c r="E31" s="13" t="n">
        <f aca="false">B31*1000000/((C31+1)*(D31+1))/1</f>
        <v>83.3333333333333</v>
      </c>
      <c r="F31" s="7" t="s">
        <v>98</v>
      </c>
      <c r="G31" s="10" t="s">
        <v>101</v>
      </c>
    </row>
    <row r="32" customFormat="false" ht="15" hidden="false" customHeight="false" outlineLevel="0" collapsed="false">
      <c r="A32" s="7" t="s">
        <v>102</v>
      </c>
      <c r="B32" s="9" t="n">
        <f aca="false">B17</f>
        <v>90</v>
      </c>
      <c r="C32" s="8" t="n">
        <v>8999</v>
      </c>
      <c r="D32" s="8" t="n">
        <v>199</v>
      </c>
      <c r="E32" s="13" t="n">
        <f aca="false">B32*1000000/((C32+1)*(D32+1))/1</f>
        <v>50</v>
      </c>
      <c r="F32" s="7" t="s">
        <v>98</v>
      </c>
      <c r="G32" s="7" t="s">
        <v>103</v>
      </c>
    </row>
    <row r="34" customFormat="false" ht="15" hidden="false" customHeight="false" outlineLevel="0" collapsed="false">
      <c r="A34" s="11" t="s">
        <v>104</v>
      </c>
    </row>
    <row r="35" customFormat="false" ht="15" hidden="false" customHeight="false" outlineLevel="0" collapsed="false">
      <c r="A35" s="12" t="s">
        <v>88</v>
      </c>
      <c r="B35" s="12" t="s">
        <v>89</v>
      </c>
      <c r="C35" s="12" t="s">
        <v>105</v>
      </c>
      <c r="D35" s="12" t="s">
        <v>106</v>
      </c>
      <c r="E35" s="12" t="s">
        <v>43</v>
      </c>
    </row>
    <row r="36" customFormat="false" ht="23.85" hidden="false" customHeight="false" outlineLevel="0" collapsed="false">
      <c r="A36" s="7" t="s">
        <v>107</v>
      </c>
      <c r="B36" s="9" t="n">
        <f aca="false">B17</f>
        <v>90</v>
      </c>
      <c r="C36" s="8" t="n">
        <v>1</v>
      </c>
      <c r="D36" s="9" t="n">
        <f aca="false">8*32/(B36/C36)</f>
        <v>2.84444444444444</v>
      </c>
      <c r="E36" s="7" t="s">
        <v>108</v>
      </c>
    </row>
    <row r="37" customFormat="false" ht="35.05" hidden="false" customHeight="false" outlineLevel="0" collapsed="false">
      <c r="A37" s="7" t="s">
        <v>109</v>
      </c>
      <c r="B37" s="9" t="n">
        <f aca="false">B19</f>
        <v>180</v>
      </c>
      <c r="C37" s="8" t="n">
        <v>2</v>
      </c>
      <c r="D37" s="9" t="n">
        <f aca="false">8*32/(B37/C37)</f>
        <v>2.84444444444444</v>
      </c>
      <c r="E37" s="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3" customFormat="false" ht="23.85" hidden="false" customHeight="false" outlineLevel="0" collapsed="false">
      <c r="A3" s="6" t="s">
        <v>113</v>
      </c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119</v>
      </c>
      <c r="H3" s="6" t="s">
        <v>120</v>
      </c>
      <c r="I3" s="6" t="s">
        <v>121</v>
      </c>
      <c r="J3" s="6" t="s">
        <v>122</v>
      </c>
      <c r="K3" s="6" t="s">
        <v>43</v>
      </c>
    </row>
    <row r="4" customFormat="false" ht="15" hidden="false" customHeight="false" outlineLevel="0" collapsed="false">
      <c r="A4" s="14" t="s">
        <v>123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customFormat="false" ht="15" hidden="false" customHeight="false" outlineLevel="0" collapsed="false">
      <c r="A5" s="7" t="s">
        <v>124</v>
      </c>
      <c r="B5" s="7" t="s">
        <v>125</v>
      </c>
      <c r="C5" s="7" t="s">
        <v>126</v>
      </c>
      <c r="D5" s="7"/>
      <c r="E5" s="7" t="s">
        <v>127</v>
      </c>
      <c r="F5" s="7" t="s">
        <v>128</v>
      </c>
      <c r="G5" s="7"/>
      <c r="H5" s="7" t="s">
        <v>129</v>
      </c>
      <c r="I5" s="7" t="s">
        <v>130</v>
      </c>
      <c r="J5" s="16" t="s">
        <v>131</v>
      </c>
      <c r="K5" s="7"/>
    </row>
    <row r="6" customFormat="false" ht="15" hidden="false" customHeight="false" outlineLevel="0" collapsed="false">
      <c r="A6" s="7" t="s">
        <v>132</v>
      </c>
      <c r="B6" s="7" t="s">
        <v>133</v>
      </c>
      <c r="C6" s="7" t="s">
        <v>134</v>
      </c>
      <c r="D6" s="7"/>
      <c r="E6" s="7" t="s">
        <v>127</v>
      </c>
      <c r="F6" s="7" t="s">
        <v>128</v>
      </c>
      <c r="G6" s="7"/>
      <c r="H6" s="7" t="s">
        <v>129</v>
      </c>
      <c r="I6" s="7" t="s">
        <v>135</v>
      </c>
      <c r="J6" s="16" t="s">
        <v>131</v>
      </c>
      <c r="K6" s="7"/>
    </row>
    <row r="7" customFormat="false" ht="15" hidden="false" customHeight="false" outlineLevel="0" collapsed="false">
      <c r="A7" s="7" t="s">
        <v>136</v>
      </c>
      <c r="B7" s="7" t="s">
        <v>137</v>
      </c>
      <c r="C7" s="7" t="s">
        <v>138</v>
      </c>
      <c r="D7" s="7"/>
      <c r="E7" s="7" t="s">
        <v>127</v>
      </c>
      <c r="F7" s="7" t="s">
        <v>128</v>
      </c>
      <c r="G7" s="7"/>
      <c r="H7" s="7" t="s">
        <v>129</v>
      </c>
      <c r="I7" s="7" t="s">
        <v>139</v>
      </c>
      <c r="J7" s="16" t="s">
        <v>131</v>
      </c>
      <c r="K7" s="7"/>
    </row>
    <row r="8" customFormat="false" ht="15" hidden="false" customHeight="false" outlineLevel="0" collapsed="false">
      <c r="A8" s="7" t="s">
        <v>140</v>
      </c>
      <c r="B8" s="7" t="s">
        <v>141</v>
      </c>
      <c r="C8" s="7" t="s">
        <v>142</v>
      </c>
      <c r="D8" s="7"/>
      <c r="E8" s="7" t="s">
        <v>127</v>
      </c>
      <c r="F8" s="7" t="s">
        <v>128</v>
      </c>
      <c r="G8" s="7"/>
      <c r="H8" s="7" t="s">
        <v>129</v>
      </c>
      <c r="I8" s="7" t="s">
        <v>143</v>
      </c>
      <c r="J8" s="16" t="s">
        <v>131</v>
      </c>
      <c r="K8" s="7"/>
    </row>
    <row r="9" customFormat="false" ht="15" hidden="false" customHeight="false" outlineLevel="0" collapsed="false">
      <c r="A9" s="7" t="s">
        <v>144</v>
      </c>
      <c r="B9" s="7" t="s">
        <v>145</v>
      </c>
      <c r="C9" s="7" t="s">
        <v>146</v>
      </c>
      <c r="D9" s="7" t="s">
        <v>147</v>
      </c>
      <c r="E9" s="7" t="s">
        <v>148</v>
      </c>
      <c r="F9" s="7" t="s">
        <v>149</v>
      </c>
      <c r="G9" s="7" t="s">
        <v>129</v>
      </c>
      <c r="H9" s="7" t="s">
        <v>129</v>
      </c>
      <c r="I9" s="7" t="s">
        <v>150</v>
      </c>
      <c r="J9" s="16" t="s">
        <v>131</v>
      </c>
      <c r="K9" s="7" t="s">
        <v>151</v>
      </c>
    </row>
    <row r="10" customFormat="false" ht="15" hidden="false" customHeight="false" outlineLevel="0" collapsed="false">
      <c r="A10" s="7" t="s">
        <v>152</v>
      </c>
      <c r="B10" s="7" t="s">
        <v>153</v>
      </c>
      <c r="C10" s="7" t="s">
        <v>146</v>
      </c>
      <c r="D10" s="7" t="s">
        <v>154</v>
      </c>
      <c r="E10" s="7" t="s">
        <v>148</v>
      </c>
      <c r="F10" s="7" t="s">
        <v>149</v>
      </c>
      <c r="G10" s="7" t="s">
        <v>129</v>
      </c>
      <c r="H10" s="7" t="s">
        <v>129</v>
      </c>
      <c r="I10" s="7" t="s">
        <v>155</v>
      </c>
      <c r="J10" s="16" t="s">
        <v>131</v>
      </c>
      <c r="K10" s="7" t="s">
        <v>151</v>
      </c>
    </row>
    <row r="11" customFormat="false" ht="15" hidden="false" customHeight="false" outlineLevel="0" collapsed="false">
      <c r="A11" s="14" t="s">
        <v>156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7" t="s">
        <v>157</v>
      </c>
      <c r="B12" s="7" t="s">
        <v>158</v>
      </c>
      <c r="C12" s="7" t="s">
        <v>159</v>
      </c>
      <c r="D12" s="7"/>
      <c r="E12" s="7" t="s">
        <v>156</v>
      </c>
      <c r="F12" s="7" t="s">
        <v>128</v>
      </c>
      <c r="G12" s="7"/>
      <c r="H12" s="7"/>
      <c r="I12" s="7" t="s">
        <v>160</v>
      </c>
      <c r="J12" s="16" t="s">
        <v>131</v>
      </c>
      <c r="K12" s="7" t="s">
        <v>161</v>
      </c>
    </row>
    <row r="13" customFormat="false" ht="15" hidden="false" customHeight="false" outlineLevel="0" collapsed="false">
      <c r="A13" s="7" t="s">
        <v>162</v>
      </c>
      <c r="B13" s="7" t="s">
        <v>163</v>
      </c>
      <c r="C13" s="7" t="s">
        <v>164</v>
      </c>
      <c r="D13" s="7"/>
      <c r="E13" s="7" t="s">
        <v>156</v>
      </c>
      <c r="F13" s="7" t="s">
        <v>128</v>
      </c>
      <c r="G13" s="7"/>
      <c r="H13" s="7"/>
      <c r="I13" s="7" t="s">
        <v>165</v>
      </c>
      <c r="J13" s="16" t="s">
        <v>131</v>
      </c>
      <c r="K13" s="7"/>
    </row>
    <row r="14" customFormat="false" ht="15" hidden="false" customHeight="false" outlineLevel="0" collapsed="false">
      <c r="A14" s="7" t="s">
        <v>166</v>
      </c>
      <c r="B14" s="7" t="s">
        <v>167</v>
      </c>
      <c r="C14" s="7" t="s">
        <v>168</v>
      </c>
      <c r="D14" s="7"/>
      <c r="E14" s="7" t="s">
        <v>156</v>
      </c>
      <c r="F14" s="7" t="s">
        <v>128</v>
      </c>
      <c r="G14" s="7"/>
      <c r="H14" s="7"/>
      <c r="I14" s="7" t="s">
        <v>169</v>
      </c>
      <c r="J14" s="16" t="s">
        <v>131</v>
      </c>
      <c r="K14" s="7"/>
    </row>
    <row r="15" customFormat="false" ht="15" hidden="false" customHeight="false" outlineLevel="0" collapsed="false">
      <c r="A15" s="7" t="s">
        <v>170</v>
      </c>
      <c r="B15" s="7" t="s">
        <v>171</v>
      </c>
      <c r="C15" s="7" t="s">
        <v>172</v>
      </c>
      <c r="D15" s="7"/>
      <c r="E15" s="7" t="s">
        <v>156</v>
      </c>
      <c r="F15" s="7" t="s">
        <v>128</v>
      </c>
      <c r="G15" s="7"/>
      <c r="H15" s="7"/>
      <c r="I15" s="7" t="s">
        <v>173</v>
      </c>
      <c r="J15" s="16" t="s">
        <v>131</v>
      </c>
      <c r="K15" s="7"/>
    </row>
    <row r="16" customFormat="false" ht="23.85" hidden="false" customHeight="false" outlineLevel="0" collapsed="false">
      <c r="A16" s="14" t="s">
        <v>174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customFormat="false" ht="15" hidden="false" customHeight="false" outlineLevel="0" collapsed="false">
      <c r="A17" s="7" t="s">
        <v>175</v>
      </c>
      <c r="B17" s="7" t="s">
        <v>176</v>
      </c>
      <c r="C17" s="7" t="s">
        <v>177</v>
      </c>
      <c r="D17" s="7"/>
      <c r="E17" s="7" t="s">
        <v>178</v>
      </c>
      <c r="F17" s="7" t="s">
        <v>128</v>
      </c>
      <c r="G17" s="7"/>
      <c r="H17" s="7"/>
      <c r="I17" s="7" t="s">
        <v>179</v>
      </c>
      <c r="J17" s="16" t="s">
        <v>131</v>
      </c>
      <c r="K17" s="7" t="s">
        <v>180</v>
      </c>
    </row>
    <row r="18" customFormat="false" ht="15" hidden="false" customHeight="false" outlineLevel="0" collapsed="false">
      <c r="A18" s="7" t="s">
        <v>181</v>
      </c>
      <c r="B18" s="7" t="s">
        <v>176</v>
      </c>
      <c r="C18" s="7" t="s">
        <v>182</v>
      </c>
      <c r="D18" s="7"/>
      <c r="E18" s="7" t="s">
        <v>178</v>
      </c>
      <c r="F18" s="7" t="s">
        <v>128</v>
      </c>
      <c r="G18" s="7"/>
      <c r="H18" s="7"/>
      <c r="I18" s="7" t="s">
        <v>179</v>
      </c>
      <c r="J18" s="16" t="s">
        <v>131</v>
      </c>
      <c r="K18" s="7"/>
    </row>
    <row r="19" customFormat="false" ht="15" hidden="false" customHeight="false" outlineLevel="0" collapsed="false">
      <c r="A19" s="7" t="s">
        <v>183</v>
      </c>
      <c r="B19" s="7" t="s">
        <v>184</v>
      </c>
      <c r="C19" s="7" t="s">
        <v>185</v>
      </c>
      <c r="D19" s="7"/>
      <c r="E19" s="7" t="s">
        <v>178</v>
      </c>
      <c r="F19" s="7" t="s">
        <v>128</v>
      </c>
      <c r="G19" s="7"/>
      <c r="H19" s="7"/>
      <c r="I19" s="7" t="s">
        <v>186</v>
      </c>
      <c r="J19" s="16" t="s">
        <v>131</v>
      </c>
      <c r="K19" s="7" t="s">
        <v>187</v>
      </c>
    </row>
    <row r="20" customFormat="false" ht="15" hidden="false" customHeight="false" outlineLevel="0" collapsed="false">
      <c r="A20" s="7" t="s">
        <v>188</v>
      </c>
      <c r="B20" s="7" t="s">
        <v>189</v>
      </c>
      <c r="C20" s="7" t="s">
        <v>190</v>
      </c>
      <c r="D20" s="7"/>
      <c r="E20" s="7" t="s">
        <v>178</v>
      </c>
      <c r="F20" s="7" t="s">
        <v>191</v>
      </c>
      <c r="G20" s="7"/>
      <c r="H20" s="7"/>
      <c r="I20" s="7" t="s">
        <v>192</v>
      </c>
      <c r="J20" s="10" t="s">
        <v>193</v>
      </c>
      <c r="K20" s="7" t="s">
        <v>194</v>
      </c>
    </row>
    <row r="21" customFormat="false" ht="15" hidden="false" customHeight="false" outlineLevel="0" collapsed="false">
      <c r="A21" s="7" t="s">
        <v>195</v>
      </c>
      <c r="B21" s="7" t="s">
        <v>196</v>
      </c>
      <c r="C21" s="7" t="s">
        <v>146</v>
      </c>
      <c r="D21" s="7" t="s">
        <v>197</v>
      </c>
      <c r="E21" s="7" t="s">
        <v>148</v>
      </c>
      <c r="F21" s="7" t="s">
        <v>128</v>
      </c>
      <c r="G21" s="7" t="s">
        <v>198</v>
      </c>
      <c r="H21" s="7" t="s">
        <v>129</v>
      </c>
      <c r="I21" s="7" t="s">
        <v>199</v>
      </c>
      <c r="J21" s="16" t="s">
        <v>131</v>
      </c>
      <c r="K21" s="7" t="s">
        <v>200</v>
      </c>
    </row>
    <row r="22" customFormat="false" ht="15" hidden="false" customHeight="false" outlineLevel="0" collapsed="false">
      <c r="A22" s="14" t="s">
        <v>201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5" hidden="false" customHeight="false" outlineLevel="0" collapsed="false">
      <c r="A23" s="7" t="s">
        <v>202</v>
      </c>
      <c r="B23" s="7" t="s">
        <v>203</v>
      </c>
      <c r="C23" s="7" t="s">
        <v>204</v>
      </c>
      <c r="D23" s="7" t="s">
        <v>205</v>
      </c>
      <c r="E23" s="7" t="s">
        <v>206</v>
      </c>
      <c r="F23" s="7"/>
      <c r="G23" s="7"/>
      <c r="H23" s="7"/>
      <c r="I23" s="7" t="s">
        <v>207</v>
      </c>
      <c r="J23" s="16" t="s">
        <v>131</v>
      </c>
      <c r="K23" s="7" t="s">
        <v>208</v>
      </c>
    </row>
    <row r="24" customFormat="false" ht="15" hidden="false" customHeight="false" outlineLevel="0" collapsed="false">
      <c r="A24" s="7" t="s">
        <v>209</v>
      </c>
      <c r="B24" s="7" t="s">
        <v>210</v>
      </c>
      <c r="C24" s="7" t="s">
        <v>211</v>
      </c>
      <c r="D24" s="7" t="s">
        <v>212</v>
      </c>
      <c r="E24" s="7" t="s">
        <v>206</v>
      </c>
      <c r="F24" s="7"/>
      <c r="G24" s="7"/>
      <c r="H24" s="7"/>
      <c r="I24" s="7" t="s">
        <v>207</v>
      </c>
      <c r="J24" s="16" t="s">
        <v>131</v>
      </c>
      <c r="K24" s="7"/>
    </row>
    <row r="25" customFormat="false" ht="15" hidden="false" customHeight="false" outlineLevel="0" collapsed="false">
      <c r="A25" s="7" t="s">
        <v>213</v>
      </c>
      <c r="B25" s="7" t="s">
        <v>214</v>
      </c>
      <c r="C25" s="7" t="s">
        <v>215</v>
      </c>
      <c r="D25" s="7"/>
      <c r="E25" s="7" t="s">
        <v>216</v>
      </c>
      <c r="F25" s="7"/>
      <c r="G25" s="7"/>
      <c r="H25" s="7"/>
      <c r="I25" s="7" t="s">
        <v>217</v>
      </c>
      <c r="J25" s="16" t="s">
        <v>131</v>
      </c>
      <c r="K25" s="7"/>
    </row>
    <row r="26" customFormat="false" ht="23.85" hidden="false" customHeight="false" outlineLevel="0" collapsed="false">
      <c r="A26" s="7" t="s">
        <v>218</v>
      </c>
      <c r="B26" s="7" t="s">
        <v>219</v>
      </c>
      <c r="C26" s="7" t="s">
        <v>220</v>
      </c>
      <c r="D26" s="7"/>
      <c r="E26" s="7"/>
      <c r="F26" s="7"/>
      <c r="G26" s="7"/>
      <c r="H26" s="7"/>
      <c r="I26" s="7"/>
      <c r="J26" s="10" t="s">
        <v>193</v>
      </c>
      <c r="K26" s="7" t="s">
        <v>221</v>
      </c>
    </row>
    <row r="27" customFormat="false" ht="15" hidden="false" customHeight="false" outlineLevel="0" collapsed="false">
      <c r="A27" s="7" t="s">
        <v>222</v>
      </c>
      <c r="B27" s="7" t="s">
        <v>223</v>
      </c>
      <c r="C27" s="7" t="s">
        <v>146</v>
      </c>
      <c r="D27" s="7" t="s">
        <v>224</v>
      </c>
      <c r="E27" s="7" t="s">
        <v>148</v>
      </c>
      <c r="F27" s="7" t="s">
        <v>128</v>
      </c>
      <c r="G27" s="7" t="s">
        <v>129</v>
      </c>
      <c r="H27" s="7" t="s">
        <v>129</v>
      </c>
      <c r="I27" s="7" t="s">
        <v>225</v>
      </c>
      <c r="J27" s="16" t="s">
        <v>226</v>
      </c>
      <c r="K27" s="7" t="s">
        <v>227</v>
      </c>
    </row>
    <row r="28" customFormat="false" ht="15" hidden="false" customHeight="false" outlineLevel="0" collapsed="false">
      <c r="A28" s="7" t="s">
        <v>228</v>
      </c>
      <c r="B28" s="7" t="s">
        <v>229</v>
      </c>
      <c r="C28" s="7" t="s">
        <v>230</v>
      </c>
      <c r="D28" s="7" t="s">
        <v>231</v>
      </c>
      <c r="E28" s="7" t="s">
        <v>232</v>
      </c>
      <c r="F28" s="7" t="s">
        <v>128</v>
      </c>
      <c r="G28" s="7"/>
      <c r="H28" s="7"/>
      <c r="I28" s="7" t="s">
        <v>233</v>
      </c>
      <c r="J28" s="16" t="s">
        <v>226</v>
      </c>
      <c r="K28" s="7" t="s">
        <v>234</v>
      </c>
    </row>
    <row r="29" customFormat="false" ht="15" hidden="false" customHeight="false" outlineLevel="0" collapsed="false">
      <c r="A29" s="7" t="s">
        <v>235</v>
      </c>
      <c r="B29" s="7" t="s">
        <v>236</v>
      </c>
      <c r="C29" s="7" t="s">
        <v>237</v>
      </c>
      <c r="D29" s="7"/>
      <c r="E29" s="7" t="s">
        <v>238</v>
      </c>
      <c r="F29" s="7"/>
      <c r="G29" s="7"/>
      <c r="H29" s="7"/>
      <c r="I29" s="7" t="s">
        <v>239</v>
      </c>
      <c r="J29" s="16" t="s">
        <v>226</v>
      </c>
      <c r="K29" s="7" t="s">
        <v>240</v>
      </c>
    </row>
    <row r="30" customFormat="false" ht="35.05" hidden="false" customHeight="false" outlineLevel="0" collapsed="false">
      <c r="A30" s="14" t="s">
        <v>241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customFormat="false" ht="15" hidden="false" customHeight="false" outlineLevel="0" collapsed="false">
      <c r="A31" s="7" t="s">
        <v>242</v>
      </c>
      <c r="B31" s="7" t="s">
        <v>243</v>
      </c>
      <c r="C31" s="7" t="s">
        <v>244</v>
      </c>
      <c r="D31" s="7"/>
      <c r="E31" s="7"/>
      <c r="F31" s="7"/>
      <c r="G31" s="7"/>
      <c r="H31" s="7"/>
      <c r="I31" s="7" t="s">
        <v>245</v>
      </c>
      <c r="J31" s="16" t="s">
        <v>246</v>
      </c>
      <c r="K31" s="7" t="s">
        <v>247</v>
      </c>
    </row>
    <row r="32" customFormat="false" ht="23.85" hidden="false" customHeight="false" outlineLevel="0" collapsed="false">
      <c r="A32" s="7" t="s">
        <v>248</v>
      </c>
      <c r="B32" s="7" t="s">
        <v>249</v>
      </c>
      <c r="C32" s="7" t="s">
        <v>244</v>
      </c>
      <c r="D32" s="7"/>
      <c r="E32" s="7"/>
      <c r="F32" s="7"/>
      <c r="G32" s="7"/>
      <c r="H32" s="7"/>
      <c r="I32" s="7"/>
      <c r="J32" s="16" t="s">
        <v>246</v>
      </c>
      <c r="K32" s="7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3" customFormat="false" ht="15" hidden="false" customHeight="false" outlineLevel="0" collapsed="false">
      <c r="A3" s="6" t="s">
        <v>23</v>
      </c>
      <c r="B3" s="6" t="s">
        <v>253</v>
      </c>
      <c r="C3" s="6" t="s">
        <v>254</v>
      </c>
      <c r="D3" s="6" t="s">
        <v>255</v>
      </c>
      <c r="E3" s="6" t="s">
        <v>122</v>
      </c>
      <c r="F3" s="6" t="s">
        <v>43</v>
      </c>
    </row>
    <row r="4" customFormat="false" ht="23.85" hidden="false" customHeight="false" outlineLevel="0" collapsed="false">
      <c r="A4" s="14" t="s">
        <v>256</v>
      </c>
      <c r="B4" s="15"/>
      <c r="C4" s="15"/>
      <c r="D4" s="15"/>
      <c r="E4" s="15"/>
      <c r="F4" s="15"/>
    </row>
    <row r="5" customFormat="false" ht="15" hidden="false" customHeight="false" outlineLevel="0" collapsed="false">
      <c r="A5" s="7" t="s">
        <v>257</v>
      </c>
      <c r="B5" s="7" t="s">
        <v>258</v>
      </c>
      <c r="C5" s="7" t="s">
        <v>206</v>
      </c>
      <c r="D5" s="7" t="s">
        <v>206</v>
      </c>
      <c r="E5" s="16" t="s">
        <v>226</v>
      </c>
      <c r="F5" s="7" t="s">
        <v>259</v>
      </c>
    </row>
    <row r="6" customFormat="false" ht="15" hidden="false" customHeight="false" outlineLevel="0" collapsed="false">
      <c r="A6" s="7" t="s">
        <v>257</v>
      </c>
      <c r="B6" s="7" t="s">
        <v>260</v>
      </c>
      <c r="C6" s="7" t="s">
        <v>261</v>
      </c>
      <c r="D6" s="7" t="s">
        <v>261</v>
      </c>
      <c r="E6" s="16" t="s">
        <v>226</v>
      </c>
      <c r="F6" s="7" t="s">
        <v>262</v>
      </c>
    </row>
    <row r="7" customFormat="false" ht="15" hidden="false" customHeight="false" outlineLevel="0" collapsed="false">
      <c r="A7" s="7" t="s">
        <v>263</v>
      </c>
      <c r="B7" s="7" t="s">
        <v>264</v>
      </c>
      <c r="C7" s="7" t="s">
        <v>265</v>
      </c>
      <c r="D7" s="7" t="s">
        <v>265</v>
      </c>
      <c r="E7" s="16" t="s">
        <v>226</v>
      </c>
      <c r="F7" s="7"/>
    </row>
    <row r="8" customFormat="false" ht="15" hidden="false" customHeight="false" outlineLevel="0" collapsed="false">
      <c r="A8" s="7" t="s">
        <v>263</v>
      </c>
      <c r="B8" s="7" t="s">
        <v>266</v>
      </c>
      <c r="C8" s="7" t="s">
        <v>267</v>
      </c>
      <c r="D8" s="7" t="s">
        <v>267</v>
      </c>
      <c r="E8" s="16" t="s">
        <v>226</v>
      </c>
      <c r="F8" s="7"/>
    </row>
    <row r="9" customFormat="false" ht="15" hidden="false" customHeight="false" outlineLevel="0" collapsed="false">
      <c r="A9" s="7" t="s">
        <v>263</v>
      </c>
      <c r="B9" s="7" t="s">
        <v>268</v>
      </c>
      <c r="C9" s="7" t="s">
        <v>77</v>
      </c>
      <c r="D9" s="7" t="s">
        <v>77</v>
      </c>
      <c r="E9" s="16" t="s">
        <v>226</v>
      </c>
      <c r="F9" s="7" t="s">
        <v>269</v>
      </c>
    </row>
    <row r="10" customFormat="false" ht="15" hidden="false" customHeight="false" outlineLevel="0" collapsed="false">
      <c r="A10" s="7" t="s">
        <v>263</v>
      </c>
      <c r="B10" s="7" t="s">
        <v>270</v>
      </c>
      <c r="C10" s="7" t="s">
        <v>271</v>
      </c>
      <c r="D10" s="7" t="s">
        <v>272</v>
      </c>
      <c r="E10" s="16" t="s">
        <v>226</v>
      </c>
      <c r="F10" s="7"/>
    </row>
    <row r="11" customFormat="false" ht="15" hidden="false" customHeight="false" outlineLevel="0" collapsed="false">
      <c r="A11" s="7" t="s">
        <v>273</v>
      </c>
      <c r="B11" s="7" t="s">
        <v>274</v>
      </c>
      <c r="C11" s="7" t="s">
        <v>275</v>
      </c>
      <c r="D11" s="7" t="s">
        <v>276</v>
      </c>
      <c r="E11" s="10" t="s">
        <v>193</v>
      </c>
      <c r="F11" s="7" t="s">
        <v>277</v>
      </c>
    </row>
    <row r="12" customFormat="false" ht="15" hidden="false" customHeight="false" outlineLevel="0" collapsed="false">
      <c r="A12" s="7" t="s">
        <v>273</v>
      </c>
      <c r="B12" s="7" t="s">
        <v>278</v>
      </c>
      <c r="C12" s="7" t="s">
        <v>279</v>
      </c>
      <c r="D12" s="7" t="s">
        <v>267</v>
      </c>
      <c r="E12" s="10" t="s">
        <v>279</v>
      </c>
      <c r="F12" s="7" t="s">
        <v>280</v>
      </c>
    </row>
    <row r="13" customFormat="false" ht="23.85" hidden="false" customHeight="false" outlineLevel="0" collapsed="false">
      <c r="A13" s="14" t="s">
        <v>281</v>
      </c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7" t="s">
        <v>282</v>
      </c>
      <c r="B14" s="7" t="s">
        <v>283</v>
      </c>
      <c r="C14" s="7" t="s">
        <v>284</v>
      </c>
      <c r="D14" s="7" t="s">
        <v>284</v>
      </c>
      <c r="E14" s="16" t="s">
        <v>226</v>
      </c>
      <c r="F14" s="7" t="s">
        <v>285</v>
      </c>
    </row>
    <row r="15" customFormat="false" ht="15" hidden="false" customHeight="false" outlineLevel="0" collapsed="false">
      <c r="A15" s="7" t="s">
        <v>282</v>
      </c>
      <c r="B15" s="7" t="s">
        <v>286</v>
      </c>
      <c r="C15" s="7" t="s">
        <v>287</v>
      </c>
      <c r="D15" s="7"/>
      <c r="E15" s="16" t="s">
        <v>226</v>
      </c>
      <c r="F15" s="7"/>
    </row>
    <row r="16" customFormat="false" ht="15" hidden="false" customHeight="false" outlineLevel="0" collapsed="false">
      <c r="A16" s="7" t="s">
        <v>282</v>
      </c>
      <c r="B16" s="7" t="s">
        <v>288</v>
      </c>
      <c r="C16" s="7" t="n">
        <v>0</v>
      </c>
      <c r="D16" s="7" t="n">
        <v>0</v>
      </c>
      <c r="E16" s="16" t="s">
        <v>226</v>
      </c>
      <c r="F16" s="7"/>
    </row>
    <row r="17" customFormat="false" ht="15" hidden="false" customHeight="false" outlineLevel="0" collapsed="false">
      <c r="A17" s="7" t="s">
        <v>282</v>
      </c>
      <c r="B17" s="7" t="s">
        <v>289</v>
      </c>
      <c r="C17" s="7" t="s">
        <v>290</v>
      </c>
      <c r="D17" s="7" t="s">
        <v>290</v>
      </c>
      <c r="E17" s="16" t="s">
        <v>226</v>
      </c>
      <c r="F17" s="7"/>
    </row>
    <row r="18" customFormat="false" ht="15" hidden="false" customHeight="false" outlineLevel="0" collapsed="false">
      <c r="A18" s="7" t="s">
        <v>282</v>
      </c>
      <c r="B18" s="7" t="s">
        <v>291</v>
      </c>
      <c r="C18" s="7" t="n">
        <v>35999</v>
      </c>
      <c r="D18" s="7" t="s">
        <v>292</v>
      </c>
      <c r="E18" s="16" t="s">
        <v>226</v>
      </c>
      <c r="F18" s="7" t="s">
        <v>293</v>
      </c>
    </row>
    <row r="19" customFormat="false" ht="15" hidden="false" customHeight="false" outlineLevel="0" collapsed="false">
      <c r="A19" s="7" t="s">
        <v>282</v>
      </c>
      <c r="B19" s="7" t="s">
        <v>294</v>
      </c>
      <c r="C19" s="7" t="s">
        <v>295</v>
      </c>
      <c r="D19" s="7" t="s">
        <v>295</v>
      </c>
      <c r="E19" s="16" t="s">
        <v>226</v>
      </c>
      <c r="F19" s="7"/>
    </row>
    <row r="20" customFormat="false" ht="15" hidden="false" customHeight="false" outlineLevel="0" collapsed="false">
      <c r="A20" s="7" t="s">
        <v>282</v>
      </c>
      <c r="B20" s="7" t="s">
        <v>296</v>
      </c>
      <c r="C20" s="7" t="n">
        <v>0</v>
      </c>
      <c r="D20" s="7" t="n">
        <v>0</v>
      </c>
      <c r="E20" s="16" t="s">
        <v>226</v>
      </c>
      <c r="F20" s="7"/>
    </row>
    <row r="21" customFormat="false" ht="15" hidden="false" customHeight="false" outlineLevel="0" collapsed="false">
      <c r="A21" s="7" t="s">
        <v>282</v>
      </c>
      <c r="B21" s="7" t="s">
        <v>297</v>
      </c>
      <c r="C21" s="7" t="s">
        <v>298</v>
      </c>
      <c r="D21" s="7" t="s">
        <v>298</v>
      </c>
      <c r="E21" s="16" t="s">
        <v>226</v>
      </c>
      <c r="F21" s="7"/>
    </row>
    <row r="22" customFormat="false" ht="15" hidden="false" customHeight="false" outlineLevel="0" collapsed="false">
      <c r="A22" s="7" t="s">
        <v>282</v>
      </c>
      <c r="B22" s="7" t="s">
        <v>299</v>
      </c>
      <c r="C22" s="7" t="s">
        <v>300</v>
      </c>
      <c r="D22" s="7"/>
      <c r="E22" s="16" t="s">
        <v>226</v>
      </c>
      <c r="F22" s="7" t="s">
        <v>301</v>
      </c>
    </row>
    <row r="23" customFormat="false" ht="15" hidden="false" customHeight="false" outlineLevel="0" collapsed="false">
      <c r="A23" s="7" t="s">
        <v>282</v>
      </c>
      <c r="B23" s="7" t="s">
        <v>302</v>
      </c>
      <c r="C23" s="7" t="s">
        <v>303</v>
      </c>
      <c r="D23" s="7"/>
      <c r="E23" s="16" t="s">
        <v>226</v>
      </c>
      <c r="F23" s="7" t="s">
        <v>304</v>
      </c>
    </row>
    <row r="24" customFormat="false" ht="15" hidden="false" customHeight="false" outlineLevel="0" collapsed="false">
      <c r="A24" s="7" t="s">
        <v>282</v>
      </c>
      <c r="B24" s="7" t="s">
        <v>305</v>
      </c>
      <c r="C24" s="7" t="s">
        <v>306</v>
      </c>
      <c r="D24" s="7" t="s">
        <v>306</v>
      </c>
      <c r="E24" s="16" t="s">
        <v>226</v>
      </c>
      <c r="F24" s="7"/>
    </row>
    <row r="25" customFormat="false" ht="35.05" hidden="false" customHeight="false" outlineLevel="0" collapsed="false">
      <c r="A25" s="14" t="s">
        <v>307</v>
      </c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7" t="s">
        <v>308</v>
      </c>
      <c r="B26" s="7" t="s">
        <v>283</v>
      </c>
      <c r="C26" s="7" t="s">
        <v>309</v>
      </c>
      <c r="D26" s="7" t="s">
        <v>309</v>
      </c>
      <c r="E26" s="16" t="s">
        <v>226</v>
      </c>
      <c r="F26" s="7"/>
    </row>
    <row r="27" customFormat="false" ht="15" hidden="false" customHeight="false" outlineLevel="0" collapsed="false">
      <c r="A27" s="7" t="s">
        <v>308</v>
      </c>
      <c r="B27" s="7" t="s">
        <v>310</v>
      </c>
      <c r="C27" s="7" t="s">
        <v>311</v>
      </c>
      <c r="D27" s="7"/>
      <c r="E27" s="16" t="s">
        <v>226</v>
      </c>
      <c r="F27" s="7" t="s">
        <v>312</v>
      </c>
    </row>
    <row r="28" customFormat="false" ht="15" hidden="false" customHeight="false" outlineLevel="0" collapsed="false">
      <c r="A28" s="7" t="s">
        <v>308</v>
      </c>
      <c r="B28" s="7" t="s">
        <v>288</v>
      </c>
      <c r="C28" s="7" t="n">
        <v>0</v>
      </c>
      <c r="D28" s="7" t="n">
        <v>89</v>
      </c>
      <c r="E28" s="10" t="s">
        <v>313</v>
      </c>
      <c r="F28" s="7" t="s">
        <v>314</v>
      </c>
    </row>
    <row r="29" customFormat="false" ht="15" hidden="false" customHeight="false" outlineLevel="0" collapsed="false">
      <c r="A29" s="7" t="s">
        <v>308</v>
      </c>
      <c r="B29" s="7" t="s">
        <v>315</v>
      </c>
      <c r="C29" s="7" t="n">
        <v>4294967295</v>
      </c>
      <c r="D29" s="7" t="n">
        <v>4294967295</v>
      </c>
      <c r="E29" s="16" t="s">
        <v>226</v>
      </c>
      <c r="F29" s="7" t="s">
        <v>316</v>
      </c>
    </row>
    <row r="30" customFormat="false" ht="15" hidden="false" customHeight="false" outlineLevel="0" collapsed="false">
      <c r="A30" s="7" t="s">
        <v>308</v>
      </c>
      <c r="B30" s="7" t="s">
        <v>317</v>
      </c>
      <c r="C30" s="7" t="s">
        <v>318</v>
      </c>
      <c r="D30" s="7"/>
      <c r="E30" s="16" t="s">
        <v>226</v>
      </c>
      <c r="F30" s="7"/>
    </row>
    <row r="31" customFormat="false" ht="23.85" hidden="false" customHeight="false" outlineLevel="0" collapsed="false">
      <c r="A31" s="14" t="s">
        <v>319</v>
      </c>
      <c r="B31" s="15"/>
      <c r="C31" s="15"/>
      <c r="D31" s="15"/>
      <c r="E31" s="15"/>
      <c r="F31" s="15"/>
    </row>
    <row r="32" customFormat="false" ht="15" hidden="false" customHeight="false" outlineLevel="0" collapsed="false">
      <c r="A32" s="7" t="s">
        <v>320</v>
      </c>
      <c r="B32" s="7" t="s">
        <v>321</v>
      </c>
      <c r="C32" s="7" t="s">
        <v>322</v>
      </c>
      <c r="D32" s="7"/>
      <c r="E32" s="16" t="s">
        <v>226</v>
      </c>
      <c r="F32" s="7"/>
    </row>
    <row r="33" customFormat="false" ht="15" hidden="false" customHeight="false" outlineLevel="0" collapsed="false">
      <c r="A33" s="7" t="s">
        <v>320</v>
      </c>
      <c r="B33" s="7" t="s">
        <v>322</v>
      </c>
      <c r="C33" s="7" t="s">
        <v>323</v>
      </c>
      <c r="D33" s="7" t="s">
        <v>323</v>
      </c>
      <c r="E33" s="16" t="s">
        <v>226</v>
      </c>
      <c r="F33" s="7" t="s">
        <v>324</v>
      </c>
    </row>
    <row r="34" customFormat="false" ht="15" hidden="false" customHeight="false" outlineLevel="0" collapsed="false">
      <c r="A34" s="7" t="s">
        <v>320</v>
      </c>
      <c r="B34" s="7" t="s">
        <v>325</v>
      </c>
      <c r="C34" s="7" t="s">
        <v>326</v>
      </c>
      <c r="D34" s="7"/>
      <c r="E34" s="16" t="s">
        <v>226</v>
      </c>
      <c r="F34" s="7"/>
    </row>
    <row r="35" customFormat="false" ht="15" hidden="false" customHeight="false" outlineLevel="0" collapsed="false">
      <c r="A35" s="7" t="s">
        <v>320</v>
      </c>
      <c r="B35" s="7" t="s">
        <v>327</v>
      </c>
      <c r="C35" s="7" t="s">
        <v>295</v>
      </c>
      <c r="D35" s="7" t="s">
        <v>295</v>
      </c>
      <c r="E35" s="16" t="s">
        <v>226</v>
      </c>
      <c r="F35" s="7"/>
    </row>
    <row r="36" customFormat="false" ht="15" hidden="false" customHeight="false" outlineLevel="0" collapsed="false">
      <c r="A36" s="7" t="s">
        <v>320</v>
      </c>
      <c r="B36" s="7" t="s">
        <v>297</v>
      </c>
      <c r="C36" s="7" t="s">
        <v>284</v>
      </c>
      <c r="D36" s="7" t="s">
        <v>284</v>
      </c>
      <c r="E36" s="16" t="s">
        <v>226</v>
      </c>
      <c r="F36" s="7"/>
    </row>
    <row r="37" customFormat="false" ht="15" hidden="false" customHeight="false" outlineLevel="0" collapsed="false">
      <c r="A37" s="7" t="s">
        <v>320</v>
      </c>
      <c r="B37" s="7" t="s">
        <v>328</v>
      </c>
      <c r="C37" s="7" t="s">
        <v>329</v>
      </c>
      <c r="D37" s="7"/>
      <c r="E37" s="16" t="s">
        <v>226</v>
      </c>
      <c r="F37" s="7" t="s">
        <v>330</v>
      </c>
    </row>
    <row r="38" customFormat="false" ht="15" hidden="false" customHeight="false" outlineLevel="0" collapsed="false">
      <c r="A38" s="7" t="s">
        <v>320</v>
      </c>
      <c r="B38" s="7" t="s">
        <v>331</v>
      </c>
      <c r="C38" s="7" t="s">
        <v>332</v>
      </c>
      <c r="D38" s="7" t="s">
        <v>332</v>
      </c>
      <c r="E38" s="16" t="s">
        <v>226</v>
      </c>
      <c r="F38" s="7" t="s">
        <v>333</v>
      </c>
    </row>
    <row r="39" customFormat="false" ht="15" hidden="false" customHeight="false" outlineLevel="0" collapsed="false">
      <c r="A39" s="14" t="s">
        <v>334</v>
      </c>
      <c r="B39" s="15"/>
      <c r="C39" s="15"/>
      <c r="D39" s="15"/>
      <c r="E39" s="15"/>
      <c r="F39" s="15"/>
    </row>
    <row r="40" customFormat="false" ht="15" hidden="false" customHeight="false" outlineLevel="0" collapsed="false">
      <c r="A40" s="7" t="s">
        <v>335</v>
      </c>
      <c r="B40" s="7" t="s">
        <v>336</v>
      </c>
      <c r="C40" s="7" t="s">
        <v>267</v>
      </c>
      <c r="D40" s="7" t="s">
        <v>267</v>
      </c>
      <c r="E40" s="16" t="s">
        <v>226</v>
      </c>
      <c r="F40" s="7"/>
    </row>
    <row r="41" customFormat="false" ht="15" hidden="false" customHeight="false" outlineLevel="0" collapsed="false">
      <c r="A41" s="7" t="s">
        <v>335</v>
      </c>
      <c r="B41" s="7" t="s">
        <v>288</v>
      </c>
      <c r="C41" s="7" t="n">
        <v>8999</v>
      </c>
      <c r="D41" s="7" t="n">
        <v>8999</v>
      </c>
      <c r="E41" s="16" t="s">
        <v>226</v>
      </c>
      <c r="F41" s="7"/>
    </row>
    <row r="42" customFormat="false" ht="23.85" hidden="false" customHeight="false" outlineLevel="0" collapsed="false">
      <c r="A42" s="7" t="s">
        <v>335</v>
      </c>
      <c r="B42" s="7" t="s">
        <v>315</v>
      </c>
      <c r="C42" s="7" t="n">
        <v>119</v>
      </c>
      <c r="D42" s="7" t="n">
        <v>199</v>
      </c>
      <c r="E42" s="10" t="s">
        <v>337</v>
      </c>
      <c r="F42" s="7" t="s">
        <v>338</v>
      </c>
    </row>
    <row r="43" customFormat="false" ht="15" hidden="false" customHeight="false" outlineLevel="0" collapsed="false">
      <c r="A43" s="7" t="s">
        <v>335</v>
      </c>
      <c r="B43" s="7" t="s">
        <v>297</v>
      </c>
      <c r="C43" s="7" t="s">
        <v>298</v>
      </c>
      <c r="D43" s="7" t="s">
        <v>298</v>
      </c>
      <c r="E43" s="16" t="s">
        <v>226</v>
      </c>
      <c r="F43" s="7"/>
    </row>
    <row r="44" customFormat="false" ht="15" hidden="false" customHeight="false" outlineLevel="0" collapsed="false">
      <c r="A44" s="7" t="s">
        <v>335</v>
      </c>
      <c r="B44" s="7" t="s">
        <v>305</v>
      </c>
      <c r="C44" s="7" t="s">
        <v>306</v>
      </c>
      <c r="D44" s="7" t="s">
        <v>306</v>
      </c>
      <c r="E44" s="16" t="s">
        <v>226</v>
      </c>
      <c r="F44" s="7"/>
    </row>
    <row r="45" customFormat="false" ht="23.85" hidden="false" customHeight="false" outlineLevel="0" collapsed="false">
      <c r="A45" s="14" t="s">
        <v>339</v>
      </c>
      <c r="B45" s="15"/>
      <c r="C45" s="15"/>
      <c r="D45" s="15"/>
      <c r="E45" s="15"/>
      <c r="F45" s="15"/>
    </row>
    <row r="46" customFormat="false" ht="15" hidden="false" customHeight="false" outlineLevel="0" collapsed="false">
      <c r="A46" s="7" t="s">
        <v>340</v>
      </c>
      <c r="B46" s="7" t="s">
        <v>322</v>
      </c>
      <c r="C46" s="7" t="s">
        <v>323</v>
      </c>
      <c r="D46" s="7" t="s">
        <v>323</v>
      </c>
      <c r="E46" s="16" t="s">
        <v>226</v>
      </c>
      <c r="F46" s="7"/>
    </row>
    <row r="47" customFormat="false" ht="15" hidden="false" customHeight="false" outlineLevel="0" collapsed="false">
      <c r="A47" s="7" t="s">
        <v>340</v>
      </c>
      <c r="B47" s="7" t="s">
        <v>325</v>
      </c>
      <c r="C47" s="7" t="s">
        <v>326</v>
      </c>
      <c r="D47" s="7"/>
      <c r="E47" s="16" t="s">
        <v>226</v>
      </c>
      <c r="F47" s="7"/>
    </row>
    <row r="48" customFormat="false" ht="15" hidden="false" customHeight="false" outlineLevel="0" collapsed="false">
      <c r="A48" s="7" t="s">
        <v>340</v>
      </c>
      <c r="B48" s="7" t="s">
        <v>327</v>
      </c>
      <c r="C48" s="7" t="s">
        <v>341</v>
      </c>
      <c r="D48" s="7" t="s">
        <v>341</v>
      </c>
      <c r="E48" s="16" t="s">
        <v>226</v>
      </c>
      <c r="F48" s="7" t="s">
        <v>342</v>
      </c>
    </row>
    <row r="49" customFormat="false" ht="15" hidden="false" customHeight="false" outlineLevel="0" collapsed="false">
      <c r="A49" s="7" t="s">
        <v>340</v>
      </c>
      <c r="B49" s="7" t="s">
        <v>296</v>
      </c>
      <c r="C49" s="7" t="n">
        <v>0</v>
      </c>
      <c r="D49" s="7" t="n">
        <v>0</v>
      </c>
      <c r="E49" s="16" t="s">
        <v>226</v>
      </c>
      <c r="F49" s="7"/>
    </row>
    <row r="50" customFormat="false" ht="15" hidden="false" customHeight="false" outlineLevel="0" collapsed="false">
      <c r="A50" s="7" t="s">
        <v>340</v>
      </c>
      <c r="B50" s="7" t="s">
        <v>297</v>
      </c>
      <c r="C50" s="7" t="s">
        <v>284</v>
      </c>
      <c r="D50" s="7" t="s">
        <v>284</v>
      </c>
      <c r="E50" s="16" t="s">
        <v>226</v>
      </c>
      <c r="F50" s="7"/>
    </row>
    <row r="51" customFormat="false" ht="15" hidden="false" customHeight="false" outlineLevel="0" collapsed="false">
      <c r="A51" s="7" t="s">
        <v>340</v>
      </c>
      <c r="B51" s="7" t="s">
        <v>328</v>
      </c>
      <c r="C51" s="7" t="s">
        <v>329</v>
      </c>
      <c r="D51" s="7"/>
      <c r="E51" s="16" t="s">
        <v>226</v>
      </c>
      <c r="F51" s="7"/>
    </row>
    <row r="52" customFormat="false" ht="15" hidden="false" customHeight="false" outlineLevel="0" collapsed="false">
      <c r="A52" s="7" t="s">
        <v>340</v>
      </c>
      <c r="B52" s="7" t="s">
        <v>331</v>
      </c>
      <c r="C52" s="7" t="s">
        <v>332</v>
      </c>
      <c r="D52" s="7" t="s">
        <v>332</v>
      </c>
      <c r="E52" s="16" t="s">
        <v>226</v>
      </c>
      <c r="F52" s="7"/>
    </row>
    <row r="53" customFormat="false" ht="15" hidden="false" customHeight="false" outlineLevel="0" collapsed="false">
      <c r="A53" s="14" t="s">
        <v>343</v>
      </c>
      <c r="B53" s="15"/>
      <c r="C53" s="15"/>
      <c r="D53" s="15"/>
      <c r="E53" s="15"/>
      <c r="F53" s="15"/>
    </row>
    <row r="54" customFormat="false" ht="15" hidden="false" customHeight="false" outlineLevel="0" collapsed="false">
      <c r="A54" s="7" t="s">
        <v>344</v>
      </c>
      <c r="B54" s="7" t="s">
        <v>345</v>
      </c>
      <c r="C54" s="7" t="s">
        <v>346</v>
      </c>
      <c r="D54" s="7"/>
      <c r="E54" s="16" t="s">
        <v>226</v>
      </c>
      <c r="F54" s="7" t="s">
        <v>347</v>
      </c>
    </row>
    <row r="55" customFormat="false" ht="15" hidden="false" customHeight="false" outlineLevel="0" collapsed="false">
      <c r="A55" s="7" t="s">
        <v>344</v>
      </c>
      <c r="B55" s="7" t="s">
        <v>348</v>
      </c>
      <c r="C55" s="7" t="s">
        <v>349</v>
      </c>
      <c r="D55" s="7" t="s">
        <v>349</v>
      </c>
      <c r="E55" s="16" t="s">
        <v>226</v>
      </c>
      <c r="F55" s="7" t="s">
        <v>350</v>
      </c>
    </row>
    <row r="56" customFormat="false" ht="15" hidden="false" customHeight="false" outlineLevel="0" collapsed="false">
      <c r="A56" s="7" t="s">
        <v>344</v>
      </c>
      <c r="B56" s="7" t="s">
        <v>351</v>
      </c>
      <c r="C56" s="7" t="s">
        <v>352</v>
      </c>
      <c r="D56" s="7"/>
      <c r="E56" s="16" t="s">
        <v>226</v>
      </c>
      <c r="F56" s="7"/>
    </row>
    <row r="57" customFormat="false" ht="23.85" hidden="false" customHeight="false" outlineLevel="0" collapsed="false">
      <c r="A57" s="7" t="s">
        <v>344</v>
      </c>
      <c r="B57" s="7" t="s">
        <v>353</v>
      </c>
      <c r="C57" s="7" t="s">
        <v>354</v>
      </c>
      <c r="D57" s="7" t="s">
        <v>355</v>
      </c>
      <c r="E57" s="16" t="s">
        <v>226</v>
      </c>
      <c r="F57" s="7" t="s">
        <v>356</v>
      </c>
    </row>
    <row r="58" customFormat="false" ht="15" hidden="false" customHeight="false" outlineLevel="0" collapsed="false">
      <c r="A58" s="7" t="s">
        <v>344</v>
      </c>
      <c r="B58" s="7" t="s">
        <v>25</v>
      </c>
      <c r="C58" s="7" t="s">
        <v>357</v>
      </c>
      <c r="D58" s="7" t="s">
        <v>357</v>
      </c>
      <c r="E58" s="16" t="s">
        <v>226</v>
      </c>
      <c r="F58" s="7"/>
    </row>
    <row r="59" customFormat="false" ht="15" hidden="false" customHeight="false" outlineLevel="0" collapsed="false">
      <c r="A59" s="14" t="s">
        <v>358</v>
      </c>
      <c r="B59" s="15"/>
      <c r="C59" s="15"/>
      <c r="D59" s="15"/>
      <c r="E59" s="15"/>
      <c r="F59" s="15"/>
    </row>
    <row r="60" customFormat="false" ht="15" hidden="false" customHeight="false" outlineLevel="0" collapsed="false">
      <c r="A60" s="7" t="s">
        <v>359</v>
      </c>
      <c r="B60" s="7" t="s">
        <v>360</v>
      </c>
      <c r="C60" s="7" t="s">
        <v>361</v>
      </c>
      <c r="D60" s="7"/>
      <c r="E60" s="16" t="s">
        <v>226</v>
      </c>
      <c r="F60" s="7" t="s">
        <v>179</v>
      </c>
    </row>
    <row r="61" customFormat="false" ht="15" hidden="false" customHeight="false" outlineLevel="0" collapsed="false">
      <c r="A61" s="7" t="s">
        <v>359</v>
      </c>
      <c r="B61" s="7" t="s">
        <v>353</v>
      </c>
      <c r="C61" s="7" t="s">
        <v>354</v>
      </c>
      <c r="D61" s="7" t="s">
        <v>354</v>
      </c>
      <c r="E61" s="16" t="s">
        <v>226</v>
      </c>
      <c r="F61" s="7" t="s">
        <v>362</v>
      </c>
    </row>
    <row r="62" customFormat="false" ht="15" hidden="false" customHeight="false" outlineLevel="0" collapsed="false">
      <c r="A62" s="7" t="s">
        <v>359</v>
      </c>
      <c r="B62" s="7" t="s">
        <v>25</v>
      </c>
      <c r="C62" s="7" t="s">
        <v>357</v>
      </c>
      <c r="D62" s="7" t="s">
        <v>357</v>
      </c>
      <c r="E62" s="16" t="s">
        <v>226</v>
      </c>
      <c r="F62" s="7" t="s">
        <v>363</v>
      </c>
    </row>
    <row r="63" customFormat="false" ht="35.05" hidden="false" customHeight="false" outlineLevel="0" collapsed="false">
      <c r="A63" s="14" t="s">
        <v>364</v>
      </c>
      <c r="B63" s="15"/>
      <c r="C63" s="15"/>
      <c r="D63" s="15"/>
      <c r="E63" s="15"/>
      <c r="F63" s="15"/>
    </row>
    <row r="64" customFormat="false" ht="23.85" hidden="false" customHeight="false" outlineLevel="0" collapsed="false">
      <c r="A64" s="7" t="s">
        <v>365</v>
      </c>
      <c r="B64" s="7" t="s">
        <v>366</v>
      </c>
      <c r="C64" s="7" t="s">
        <v>367</v>
      </c>
      <c r="D64" s="7" t="s">
        <v>368</v>
      </c>
      <c r="E64" s="10" t="s">
        <v>313</v>
      </c>
      <c r="F64" s="7" t="s">
        <v>369</v>
      </c>
    </row>
    <row r="65" customFormat="false" ht="15" hidden="false" customHeight="false" outlineLevel="0" collapsed="false">
      <c r="A65" s="7" t="s">
        <v>370</v>
      </c>
      <c r="B65" s="7" t="s">
        <v>371</v>
      </c>
      <c r="C65" s="7" t="s">
        <v>367</v>
      </c>
      <c r="D65" s="7" t="s">
        <v>372</v>
      </c>
      <c r="E65" s="10" t="s">
        <v>313</v>
      </c>
      <c r="F65" s="7" t="s">
        <v>373</v>
      </c>
    </row>
    <row r="66" customFormat="false" ht="23.85" hidden="false" customHeight="false" outlineLevel="0" collapsed="false">
      <c r="A66" s="7" t="s">
        <v>374</v>
      </c>
      <c r="B66" s="7" t="s">
        <v>375</v>
      </c>
      <c r="C66" s="7" t="s">
        <v>367</v>
      </c>
      <c r="D66" s="7" t="s">
        <v>376</v>
      </c>
      <c r="E66" s="10" t="s">
        <v>313</v>
      </c>
      <c r="F66" s="7" t="s">
        <v>377</v>
      </c>
    </row>
    <row r="67" customFormat="false" ht="15" hidden="false" customHeight="false" outlineLevel="0" collapsed="false">
      <c r="A67" s="7" t="s">
        <v>378</v>
      </c>
      <c r="B67" s="7"/>
      <c r="C67" s="7" t="s">
        <v>367</v>
      </c>
      <c r="D67" s="7" t="s">
        <v>379</v>
      </c>
      <c r="E67" s="10" t="s">
        <v>313</v>
      </c>
      <c r="F67" s="7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381</v>
      </c>
    </row>
    <row r="3" customFormat="false" ht="15" hidden="false" customHeight="false" outlineLevel="0" collapsed="false">
      <c r="A3" s="6" t="s">
        <v>382</v>
      </c>
      <c r="B3" s="6" t="s">
        <v>383</v>
      </c>
      <c r="C3" s="6" t="s">
        <v>384</v>
      </c>
      <c r="D3" s="6" t="s">
        <v>385</v>
      </c>
      <c r="E3" s="6" t="s">
        <v>122</v>
      </c>
      <c r="F3" s="6" t="s">
        <v>43</v>
      </c>
    </row>
    <row r="4" customFormat="false" ht="15" hidden="false" customHeight="false" outlineLevel="0" collapsed="false">
      <c r="A4" s="7" t="s">
        <v>386</v>
      </c>
      <c r="B4" s="7"/>
      <c r="C4" s="7" t="s">
        <v>387</v>
      </c>
      <c r="D4" s="7"/>
      <c r="E4" s="16" t="s">
        <v>226</v>
      </c>
      <c r="F4" s="7" t="s">
        <v>388</v>
      </c>
    </row>
    <row r="5" customFormat="false" ht="15" hidden="false" customHeight="false" outlineLevel="0" collapsed="false">
      <c r="A5" s="7" t="s">
        <v>389</v>
      </c>
      <c r="B5" s="7" t="s">
        <v>390</v>
      </c>
      <c r="C5" s="7" t="n">
        <v>0</v>
      </c>
      <c r="D5" s="7" t="n">
        <v>0</v>
      </c>
      <c r="E5" s="16" t="s">
        <v>226</v>
      </c>
      <c r="F5" s="7" t="s">
        <v>391</v>
      </c>
    </row>
    <row r="6" customFormat="false" ht="15" hidden="false" customHeight="false" outlineLevel="0" collapsed="false">
      <c r="A6" s="7" t="s">
        <v>392</v>
      </c>
      <c r="B6" s="7" t="s">
        <v>390</v>
      </c>
      <c r="C6" s="7" t="n">
        <v>1</v>
      </c>
      <c r="D6" s="7" t="n">
        <v>0</v>
      </c>
      <c r="E6" s="16" t="s">
        <v>226</v>
      </c>
      <c r="F6" s="7" t="s">
        <v>393</v>
      </c>
    </row>
    <row r="7" customFormat="false" ht="15" hidden="false" customHeight="false" outlineLevel="0" collapsed="false">
      <c r="A7" s="7" t="s">
        <v>394</v>
      </c>
      <c r="B7" s="7" t="s">
        <v>390</v>
      </c>
      <c r="C7" s="7" t="n">
        <v>3</v>
      </c>
      <c r="D7" s="7" t="n">
        <v>0</v>
      </c>
      <c r="E7" s="16" t="s">
        <v>226</v>
      </c>
      <c r="F7" s="7" t="s">
        <v>395</v>
      </c>
    </row>
    <row r="8" customFormat="false" ht="15" hidden="false" customHeight="false" outlineLevel="0" collapsed="false">
      <c r="A8" s="7" t="s">
        <v>396</v>
      </c>
      <c r="B8" s="7" t="s">
        <v>390</v>
      </c>
      <c r="C8" s="7" t="n">
        <v>3</v>
      </c>
      <c r="D8" s="7" t="n">
        <v>0</v>
      </c>
      <c r="E8" s="16" t="s">
        <v>226</v>
      </c>
      <c r="F8" s="7" t="s">
        <v>12</v>
      </c>
    </row>
    <row r="9" customFormat="false" ht="15" hidden="false" customHeight="false" outlineLevel="0" collapsed="false">
      <c r="A9" s="7" t="s">
        <v>397</v>
      </c>
      <c r="B9" s="7" t="s">
        <v>390</v>
      </c>
      <c r="C9" s="7" t="s">
        <v>398</v>
      </c>
      <c r="D9" s="7" t="n">
        <v>0</v>
      </c>
      <c r="E9" s="10" t="s">
        <v>193</v>
      </c>
      <c r="F9" s="7" t="s">
        <v>399</v>
      </c>
    </row>
    <row r="10" customFormat="false" ht="15" hidden="false" customHeight="false" outlineLevel="0" collapsed="false">
      <c r="A10" s="7" t="s">
        <v>400</v>
      </c>
      <c r="B10" s="7" t="s">
        <v>401</v>
      </c>
      <c r="C10" s="7" t="s">
        <v>398</v>
      </c>
      <c r="D10" s="7" t="n">
        <v>0</v>
      </c>
      <c r="E10" s="10" t="s">
        <v>193</v>
      </c>
      <c r="F10" s="7" t="s">
        <v>402</v>
      </c>
    </row>
    <row r="11" customFormat="false" ht="15" hidden="false" customHeight="false" outlineLevel="0" collapsed="false">
      <c r="A11" s="7" t="s">
        <v>403</v>
      </c>
      <c r="B11" s="7" t="s">
        <v>404</v>
      </c>
      <c r="C11" s="7"/>
      <c r="D11" s="7"/>
      <c r="E11" s="16" t="s">
        <v>226</v>
      </c>
      <c r="F11" s="7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406</v>
      </c>
    </row>
    <row r="2" customFormat="false" ht="15" hidden="false" customHeight="false" outlineLevel="0" collapsed="false">
      <c r="A2" s="2" t="s">
        <v>407</v>
      </c>
    </row>
    <row r="3" customFormat="false" ht="15" hidden="false" customHeight="false" outlineLevel="0" collapsed="false">
      <c r="A3" s="6" t="s">
        <v>408</v>
      </c>
      <c r="B3" s="6" t="s">
        <v>41</v>
      </c>
      <c r="C3" s="6" t="s">
        <v>42</v>
      </c>
      <c r="D3" s="6" t="s">
        <v>122</v>
      </c>
      <c r="E3" s="6" t="s">
        <v>43</v>
      </c>
    </row>
    <row r="4" customFormat="false" ht="15" hidden="false" customHeight="false" outlineLevel="0" collapsed="false">
      <c r="A4" s="14" t="s">
        <v>409</v>
      </c>
      <c r="B4" s="15"/>
      <c r="C4" s="15"/>
      <c r="D4" s="15"/>
      <c r="E4" s="15"/>
    </row>
    <row r="5" customFormat="false" ht="15" hidden="false" customHeight="false" outlineLevel="0" collapsed="false">
      <c r="A5" s="7" t="s">
        <v>410</v>
      </c>
      <c r="B5" s="8" t="n">
        <v>72.6</v>
      </c>
      <c r="C5" s="7" t="s">
        <v>411</v>
      </c>
      <c r="D5" s="16" t="s">
        <v>226</v>
      </c>
      <c r="E5" s="7" t="s">
        <v>412</v>
      </c>
    </row>
    <row r="6" customFormat="false" ht="15" hidden="false" customHeight="false" outlineLevel="0" collapsed="false">
      <c r="A6" s="7" t="s">
        <v>413</v>
      </c>
      <c r="B6" s="8" t="n">
        <v>223.25</v>
      </c>
      <c r="C6" s="7" t="s">
        <v>411</v>
      </c>
      <c r="D6" s="16" t="s">
        <v>226</v>
      </c>
      <c r="E6" s="7" t="s">
        <v>414</v>
      </c>
    </row>
    <row r="7" customFormat="false" ht="15" hidden="false" customHeight="false" outlineLevel="0" collapsed="false">
      <c r="A7" s="7" t="s">
        <v>415</v>
      </c>
      <c r="B7" s="8" t="n">
        <v>3584</v>
      </c>
      <c r="C7" s="7" t="s">
        <v>416</v>
      </c>
      <c r="D7" s="10" t="s">
        <v>313</v>
      </c>
      <c r="E7" s="7" t="s">
        <v>417</v>
      </c>
    </row>
    <row r="8" customFormat="false" ht="15" hidden="false" customHeight="false" outlineLevel="0" collapsed="false">
      <c r="A8" s="7" t="s">
        <v>418</v>
      </c>
      <c r="B8" s="17" t="n">
        <f aca="false">PI()*B5/B7</f>
        <v>0.0636382886859986</v>
      </c>
      <c r="C8" s="7" t="s">
        <v>411</v>
      </c>
      <c r="D8" s="7"/>
      <c r="E8" s="7" t="s">
        <v>419</v>
      </c>
    </row>
    <row r="9" customFormat="false" ht="15" hidden="false" customHeight="false" outlineLevel="0" collapsed="false">
      <c r="A9" s="7" t="s">
        <v>420</v>
      </c>
      <c r="B9" s="9" t="n">
        <f aca="false">B5*AVERAGE(B29,B30)/B7</f>
        <v>73.0557756696428</v>
      </c>
      <c r="C9" s="7" t="s">
        <v>411</v>
      </c>
      <c r="D9" s="7"/>
      <c r="E9" s="7" t="s">
        <v>421</v>
      </c>
    </row>
    <row r="10" customFormat="false" ht="15" hidden="false" customHeight="false" outlineLevel="0" collapsed="false">
      <c r="A10" s="14" t="s">
        <v>422</v>
      </c>
      <c r="B10" s="15"/>
      <c r="C10" s="15"/>
      <c r="D10" s="15"/>
      <c r="E10" s="15"/>
    </row>
    <row r="11" customFormat="false" ht="15" hidden="false" customHeight="false" outlineLevel="0" collapsed="false">
      <c r="A11" s="7" t="s">
        <v>423</v>
      </c>
      <c r="B11" s="8" t="s">
        <v>424</v>
      </c>
      <c r="C11" s="7"/>
      <c r="D11" s="16" t="s">
        <v>226</v>
      </c>
      <c r="E11" s="7" t="s">
        <v>425</v>
      </c>
    </row>
    <row r="12" customFormat="false" ht="15" hidden="false" customHeight="false" outlineLevel="0" collapsed="false">
      <c r="A12" s="7" t="s">
        <v>426</v>
      </c>
      <c r="B12" s="8" t="s">
        <v>427</v>
      </c>
      <c r="C12" s="7"/>
      <c r="D12" s="16" t="s">
        <v>226</v>
      </c>
      <c r="E12" s="7" t="s">
        <v>428</v>
      </c>
    </row>
    <row r="13" customFormat="false" ht="15" hidden="false" customHeight="false" outlineLevel="0" collapsed="false">
      <c r="A13" s="14" t="s">
        <v>429</v>
      </c>
      <c r="B13" s="15"/>
      <c r="C13" s="15"/>
      <c r="D13" s="15"/>
      <c r="E13" s="15"/>
    </row>
    <row r="14" customFormat="false" ht="15" hidden="false" customHeight="false" outlineLevel="0" collapsed="false">
      <c r="A14" s="7" t="s">
        <v>430</v>
      </c>
      <c r="B14" s="8" t="n">
        <v>20000</v>
      </c>
      <c r="C14" s="7" t="s">
        <v>98</v>
      </c>
      <c r="D14" s="16" t="s">
        <v>226</v>
      </c>
      <c r="E14" s="7" t="s">
        <v>431</v>
      </c>
    </row>
    <row r="15" customFormat="false" ht="15" hidden="false" customHeight="false" outlineLevel="0" collapsed="false">
      <c r="A15" s="7" t="s">
        <v>432</v>
      </c>
      <c r="B15" s="8" t="n">
        <v>0.02</v>
      </c>
      <c r="C15" s="7" t="s">
        <v>433</v>
      </c>
      <c r="D15" s="10" t="s">
        <v>193</v>
      </c>
      <c r="E15" s="7" t="s">
        <v>434</v>
      </c>
    </row>
    <row r="16" customFormat="false" ht="15" hidden="false" customHeight="false" outlineLevel="0" collapsed="false">
      <c r="A16" s="7" t="s">
        <v>435</v>
      </c>
      <c r="B16" s="8" t="n">
        <v>0.5</v>
      </c>
      <c r="C16" s="7"/>
      <c r="D16" s="16" t="s">
        <v>226</v>
      </c>
      <c r="E16" s="7"/>
    </row>
    <row r="17" customFormat="false" ht="23.85" hidden="false" customHeight="false" outlineLevel="0" collapsed="false">
      <c r="A17" s="14" t="s">
        <v>436</v>
      </c>
      <c r="B17" s="15"/>
      <c r="C17" s="15"/>
      <c r="D17" s="15"/>
      <c r="E17" s="15"/>
    </row>
    <row r="18" customFormat="false" ht="15" hidden="false" customHeight="false" outlineLevel="0" collapsed="false">
      <c r="A18" s="7" t="s">
        <v>437</v>
      </c>
      <c r="B18" s="8" t="n">
        <v>0.00492</v>
      </c>
      <c r="C18" s="7" t="s">
        <v>438</v>
      </c>
      <c r="D18" s="16" t="s">
        <v>226</v>
      </c>
      <c r="E18" s="7" t="s">
        <v>439</v>
      </c>
    </row>
    <row r="19" customFormat="false" ht="15" hidden="false" customHeight="false" outlineLevel="0" collapsed="false">
      <c r="A19" s="7" t="s">
        <v>440</v>
      </c>
      <c r="B19" s="8" t="n">
        <v>0.11</v>
      </c>
      <c r="C19" s="7" t="s">
        <v>441</v>
      </c>
      <c r="D19" s="16" t="s">
        <v>226</v>
      </c>
      <c r="E19" s="7" t="s">
        <v>442</v>
      </c>
    </row>
    <row r="20" customFormat="false" ht="15" hidden="false" customHeight="false" outlineLevel="0" collapsed="false">
      <c r="A20" s="7" t="s">
        <v>443</v>
      </c>
      <c r="B20" s="8" t="n">
        <v>0.00507</v>
      </c>
      <c r="C20" s="7" t="s">
        <v>438</v>
      </c>
      <c r="D20" s="16" t="s">
        <v>226</v>
      </c>
      <c r="E20" s="7"/>
    </row>
    <row r="21" customFormat="false" ht="15" hidden="false" customHeight="false" outlineLevel="0" collapsed="false">
      <c r="A21" s="7" t="s">
        <v>444</v>
      </c>
      <c r="B21" s="8" t="n">
        <v>0.127</v>
      </c>
      <c r="C21" s="7" t="s">
        <v>441</v>
      </c>
      <c r="D21" s="16" t="s">
        <v>226</v>
      </c>
      <c r="E21" s="7"/>
    </row>
    <row r="22" customFormat="false" ht="23.85" hidden="false" customHeight="false" outlineLevel="0" collapsed="false">
      <c r="A22" s="7" t="s">
        <v>445</v>
      </c>
      <c r="B22" s="8" t="s">
        <v>446</v>
      </c>
      <c r="C22" s="7" t="s">
        <v>447</v>
      </c>
      <c r="D22" s="10" t="s">
        <v>193</v>
      </c>
      <c r="E22" s="7" t="s">
        <v>448</v>
      </c>
    </row>
    <row r="23" customFormat="false" ht="15" hidden="false" customHeight="false" outlineLevel="0" collapsed="false">
      <c r="A23" s="7" t="s">
        <v>449</v>
      </c>
      <c r="B23" s="18" t="n">
        <f aca="false">B18*100*60/(PI()*B5)</f>
        <v>0.129428482646632</v>
      </c>
      <c r="C23" s="7" t="s">
        <v>450</v>
      </c>
      <c r="D23" s="7"/>
      <c r="E23" s="7" t="s">
        <v>451</v>
      </c>
    </row>
    <row r="24" customFormat="false" ht="15" hidden="false" customHeight="false" outlineLevel="0" collapsed="false">
      <c r="A24" s="7" t="s">
        <v>452</v>
      </c>
      <c r="B24" s="18" t="n">
        <f aca="false">B20*100*60/(PI()*B5)</f>
        <v>0.133374472971225</v>
      </c>
      <c r="C24" s="7" t="s">
        <v>450</v>
      </c>
      <c r="D24" s="7"/>
      <c r="E24" s="7"/>
    </row>
    <row r="25" customFormat="false" ht="15" hidden="false" customHeight="false" outlineLevel="0" collapsed="false">
      <c r="A25" s="7" t="s">
        <v>453</v>
      </c>
      <c r="B25" s="19" t="n">
        <f aca="false">(100-B19*100)/B23</f>
        <v>687.638440782693</v>
      </c>
      <c r="C25" s="7" t="s">
        <v>454</v>
      </c>
      <c r="D25" s="7"/>
      <c r="E25" s="7" t="s">
        <v>455</v>
      </c>
    </row>
    <row r="26" customFormat="false" ht="15" hidden="false" customHeight="false" outlineLevel="0" collapsed="false">
      <c r="A26" s="7" t="s">
        <v>456</v>
      </c>
      <c r="B26" s="19" t="n">
        <f aca="false">(100-B21*100)/B24</f>
        <v>654.548040979587</v>
      </c>
      <c r="C26" s="7" t="s">
        <v>454</v>
      </c>
      <c r="D26" s="7"/>
      <c r="E26" s="7" t="s">
        <v>457</v>
      </c>
    </row>
    <row r="27" customFormat="false" ht="15" hidden="false" customHeight="false" outlineLevel="0" collapsed="false">
      <c r="A27" s="7" t="s">
        <v>458</v>
      </c>
      <c r="B27" s="19" t="n">
        <f aca="false">0.75*MIN(B25,B26)*10.5/12</f>
        <v>429.547151892854</v>
      </c>
      <c r="C27" s="7" t="s">
        <v>454</v>
      </c>
      <c r="D27" s="7"/>
      <c r="E27" s="7" t="s">
        <v>459</v>
      </c>
    </row>
    <row r="28" customFormat="false" ht="15" hidden="false" customHeight="false" outlineLevel="0" collapsed="false">
      <c r="A28" s="14" t="s">
        <v>460</v>
      </c>
      <c r="B28" s="15"/>
      <c r="C28" s="15"/>
      <c r="D28" s="15"/>
      <c r="E28" s="15"/>
    </row>
    <row r="29" customFormat="false" ht="15" hidden="false" customHeight="false" outlineLevel="0" collapsed="false">
      <c r="A29" s="7" t="s">
        <v>461</v>
      </c>
      <c r="B29" s="8" t="n">
        <v>3595</v>
      </c>
      <c r="C29" s="7" t="s">
        <v>416</v>
      </c>
      <c r="D29" s="7"/>
      <c r="E29" s="7" t="s">
        <v>462</v>
      </c>
    </row>
    <row r="30" customFormat="false" ht="15" hidden="false" customHeight="false" outlineLevel="0" collapsed="false">
      <c r="A30" s="7" t="s">
        <v>463</v>
      </c>
      <c r="B30" s="8" t="n">
        <v>3618</v>
      </c>
      <c r="C30" s="7" t="s">
        <v>416</v>
      </c>
      <c r="D30" s="7"/>
      <c r="E30" s="7"/>
    </row>
    <row r="31" customFormat="false" ht="15" hidden="false" customHeight="false" outlineLevel="0" collapsed="false">
      <c r="A31" s="14" t="s">
        <v>464</v>
      </c>
      <c r="B31" s="15"/>
      <c r="C31" s="15"/>
      <c r="D31" s="15"/>
      <c r="E31" s="15"/>
    </row>
    <row r="32" customFormat="false" ht="15" hidden="false" customHeight="false" outlineLevel="0" collapsed="false">
      <c r="A32" s="7" t="s">
        <v>465</v>
      </c>
      <c r="B32" s="8" t="s">
        <v>466</v>
      </c>
      <c r="C32" s="7" t="s">
        <v>467</v>
      </c>
      <c r="D32" s="16" t="s">
        <v>226</v>
      </c>
      <c r="E32" s="7" t="s">
        <v>468</v>
      </c>
    </row>
    <row r="33" customFormat="false" ht="15" hidden="false" customHeight="false" outlineLevel="0" collapsed="false">
      <c r="A33" s="7" t="s">
        <v>469</v>
      </c>
      <c r="B33" s="8" t="s">
        <v>470</v>
      </c>
      <c r="C33" s="7" t="s">
        <v>454</v>
      </c>
      <c r="D33" s="16" t="s">
        <v>226</v>
      </c>
      <c r="E33" s="7"/>
    </row>
    <row r="34" customFormat="false" ht="15" hidden="false" customHeight="false" outlineLevel="0" collapsed="false">
      <c r="A34" s="14" t="s">
        <v>471</v>
      </c>
      <c r="B34" s="15"/>
      <c r="C34" s="15"/>
      <c r="D34" s="15"/>
      <c r="E34" s="15"/>
    </row>
    <row r="35" customFormat="false" ht="15" hidden="false" customHeight="false" outlineLevel="0" collapsed="false">
      <c r="A35" s="7" t="s">
        <v>472</v>
      </c>
      <c r="B35" s="8" t="n">
        <v>0.1</v>
      </c>
      <c r="C35" s="7" t="s">
        <v>450</v>
      </c>
      <c r="D35" s="16" t="s">
        <v>226</v>
      </c>
      <c r="E35" s="7"/>
    </row>
    <row r="36" customFormat="false" ht="15" hidden="false" customHeight="false" outlineLevel="0" collapsed="false">
      <c r="A36" s="7" t="s">
        <v>473</v>
      </c>
      <c r="B36" s="8" t="n">
        <v>0.5</v>
      </c>
      <c r="C36" s="7" t="s">
        <v>474</v>
      </c>
      <c r="D36" s="16" t="s">
        <v>226</v>
      </c>
      <c r="E36" s="7" t="s">
        <v>475</v>
      </c>
    </row>
    <row r="37" customFormat="false" ht="15" hidden="false" customHeight="false" outlineLevel="0" collapsed="false">
      <c r="A37" s="7" t="s">
        <v>476</v>
      </c>
      <c r="B37" s="8" t="n">
        <v>30</v>
      </c>
      <c r="C37" s="7" t="s">
        <v>447</v>
      </c>
      <c r="D37" s="16" t="s">
        <v>226</v>
      </c>
      <c r="E37" s="7" t="s">
        <v>477</v>
      </c>
    </row>
    <row r="38" customFormat="false" ht="15" hidden="false" customHeight="false" outlineLevel="0" collapsed="false">
      <c r="A38" s="14" t="s">
        <v>478</v>
      </c>
      <c r="B38" s="15"/>
      <c r="C38" s="15"/>
      <c r="D38" s="15"/>
      <c r="E38" s="15"/>
    </row>
    <row r="39" customFormat="false" ht="15" hidden="false" customHeight="false" outlineLevel="0" collapsed="false">
      <c r="A39" s="7" t="s">
        <v>479</v>
      </c>
      <c r="B39" s="8" t="n">
        <v>2</v>
      </c>
      <c r="C39" s="7" t="s">
        <v>480</v>
      </c>
      <c r="D39" s="16" t="s">
        <v>226</v>
      </c>
      <c r="E39" s="7"/>
    </row>
    <row r="40" customFormat="false" ht="15" hidden="false" customHeight="false" outlineLevel="0" collapsed="false">
      <c r="A40" s="7" t="s">
        <v>481</v>
      </c>
      <c r="B40" s="8" t="n">
        <v>100</v>
      </c>
      <c r="C40" s="7" t="s">
        <v>454</v>
      </c>
      <c r="D40" s="16" t="s">
        <v>226</v>
      </c>
      <c r="E40" s="7"/>
    </row>
    <row r="41" customFormat="false" ht="15" hidden="false" customHeight="false" outlineLevel="0" collapsed="false">
      <c r="A41" s="7" t="s">
        <v>482</v>
      </c>
      <c r="B41" s="8" t="n">
        <v>20</v>
      </c>
      <c r="C41" s="7" t="s">
        <v>454</v>
      </c>
      <c r="D41" s="16" t="s">
        <v>226</v>
      </c>
      <c r="E41" s="7"/>
    </row>
    <row r="42" customFormat="false" ht="15" hidden="false" customHeight="false" outlineLevel="0" collapsed="false">
      <c r="A42" s="7" t="s">
        <v>483</v>
      </c>
      <c r="B42" s="8" t="n">
        <v>2</v>
      </c>
      <c r="C42" s="7" t="s">
        <v>411</v>
      </c>
      <c r="D42" s="16" t="s">
        <v>226</v>
      </c>
      <c r="E42" s="7"/>
    </row>
    <row r="43" customFormat="false" ht="15" hidden="false" customHeight="false" outlineLevel="0" collapsed="false">
      <c r="A43" s="7" t="s">
        <v>484</v>
      </c>
      <c r="B43" s="8" t="n">
        <v>50</v>
      </c>
      <c r="C43" s="7" t="s">
        <v>485</v>
      </c>
      <c r="D43" s="16" t="s">
        <v>226</v>
      </c>
      <c r="E43" s="7" t="s">
        <v>486</v>
      </c>
    </row>
    <row r="44" customFormat="false" ht="15" hidden="false" customHeight="false" outlineLevel="0" collapsed="false">
      <c r="A44" s="7" t="s">
        <v>487</v>
      </c>
      <c r="B44" s="8" t="n">
        <v>30</v>
      </c>
      <c r="C44" s="7" t="s">
        <v>485</v>
      </c>
      <c r="D44" s="16" t="s">
        <v>226</v>
      </c>
      <c r="E44" s="7" t="s">
        <v>488</v>
      </c>
    </row>
    <row r="45" customFormat="false" ht="15" hidden="false" customHeight="false" outlineLevel="0" collapsed="false">
      <c r="A45" s="14" t="s">
        <v>489</v>
      </c>
      <c r="B45" s="15"/>
      <c r="C45" s="15"/>
      <c r="D45" s="15"/>
      <c r="E45" s="15"/>
    </row>
    <row r="46" customFormat="false" ht="15" hidden="false" customHeight="false" outlineLevel="0" collapsed="false">
      <c r="A46" s="7" t="s">
        <v>490</v>
      </c>
      <c r="B46" s="8" t="n">
        <v>300</v>
      </c>
      <c r="C46" s="7" t="s">
        <v>454</v>
      </c>
      <c r="D46" s="16" t="s">
        <v>226</v>
      </c>
      <c r="E46" s="7"/>
    </row>
    <row r="47" customFormat="false" ht="15" hidden="false" customHeight="false" outlineLevel="0" collapsed="false">
      <c r="A47" s="7" t="s">
        <v>491</v>
      </c>
      <c r="B47" s="8" t="n">
        <v>800</v>
      </c>
      <c r="C47" s="7" t="s">
        <v>454</v>
      </c>
      <c r="D47" s="10" t="s">
        <v>492</v>
      </c>
      <c r="E47" s="7" t="s">
        <v>493</v>
      </c>
    </row>
    <row r="48" customFormat="false" ht="15" hidden="false" customHeight="false" outlineLevel="0" collapsed="false">
      <c r="A48" s="7" t="s">
        <v>494</v>
      </c>
      <c r="B48" s="8" t="s">
        <v>495</v>
      </c>
      <c r="C48" s="7" t="s">
        <v>85</v>
      </c>
      <c r="D48" s="16" t="s">
        <v>226</v>
      </c>
      <c r="E48" s="7"/>
    </row>
    <row r="49" customFormat="false" ht="15" hidden="false" customHeight="false" outlineLevel="0" collapsed="false">
      <c r="A49" s="7" t="s">
        <v>496</v>
      </c>
      <c r="B49" s="8" t="s">
        <v>497</v>
      </c>
      <c r="C49" s="7" t="s">
        <v>411</v>
      </c>
      <c r="D49" s="16" t="s">
        <v>226</v>
      </c>
      <c r="E49" s="7"/>
    </row>
    <row r="50" customFormat="false" ht="15" hidden="false" customHeight="false" outlineLevel="0" collapsed="false">
      <c r="A50" s="7" t="s">
        <v>498</v>
      </c>
      <c r="B50" s="8" t="n">
        <v>2000</v>
      </c>
      <c r="C50" s="7" t="s">
        <v>85</v>
      </c>
      <c r="D50" s="16" t="s">
        <v>226</v>
      </c>
      <c r="E50" s="7" t="s">
        <v>499</v>
      </c>
    </row>
    <row r="51" customFormat="false" ht="15" hidden="false" customHeight="false" outlineLevel="0" collapsed="false">
      <c r="A51" s="7" t="s">
        <v>500</v>
      </c>
      <c r="B51" s="8" t="n">
        <v>250</v>
      </c>
      <c r="C51" s="7" t="s">
        <v>85</v>
      </c>
      <c r="D51" s="16" t="s">
        <v>226</v>
      </c>
      <c r="E51" s="7"/>
    </row>
    <row r="52" customFormat="false" ht="15" hidden="false" customHeight="false" outlineLevel="0" collapsed="false">
      <c r="A52" s="7" t="s">
        <v>501</v>
      </c>
      <c r="B52" s="8" t="n">
        <v>16</v>
      </c>
      <c r="C52" s="7" t="s">
        <v>502</v>
      </c>
      <c r="D52" s="16" t="s">
        <v>226</v>
      </c>
      <c r="E5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503</v>
      </c>
    </row>
    <row r="3" customFormat="false" ht="15" hidden="false" customHeight="false" outlineLevel="0" collapsed="false">
      <c r="A3" s="6" t="s">
        <v>504</v>
      </c>
      <c r="B3" s="6" t="s">
        <v>505</v>
      </c>
      <c r="C3" s="6" t="s">
        <v>114</v>
      </c>
      <c r="D3" s="6" t="s">
        <v>43</v>
      </c>
    </row>
    <row r="4" customFormat="false" ht="23.85" hidden="false" customHeight="false" outlineLevel="0" collapsed="false">
      <c r="A4" s="14" t="s">
        <v>506</v>
      </c>
      <c r="B4" s="15"/>
      <c r="C4" s="15"/>
      <c r="D4" s="15"/>
    </row>
    <row r="5" customFormat="false" ht="15" hidden="false" customHeight="false" outlineLevel="0" collapsed="false">
      <c r="A5" s="7" t="s">
        <v>507</v>
      </c>
      <c r="B5" s="7" t="s">
        <v>508</v>
      </c>
      <c r="C5" s="7" t="s">
        <v>509</v>
      </c>
      <c r="D5" s="7" t="s">
        <v>510</v>
      </c>
    </row>
    <row r="6" customFormat="false" ht="15" hidden="false" customHeight="false" outlineLevel="0" collapsed="false">
      <c r="A6" s="7" t="s">
        <v>511</v>
      </c>
      <c r="B6" s="7" t="s">
        <v>512</v>
      </c>
      <c r="C6" s="7" t="s">
        <v>513</v>
      </c>
      <c r="D6" s="7"/>
    </row>
    <row r="7" customFormat="false" ht="15" hidden="false" customHeight="false" outlineLevel="0" collapsed="false">
      <c r="A7" s="7" t="s">
        <v>514</v>
      </c>
      <c r="B7" s="7" t="s">
        <v>515</v>
      </c>
      <c r="C7" s="7" t="s">
        <v>184</v>
      </c>
      <c r="D7" s="7" t="s">
        <v>516</v>
      </c>
    </row>
    <row r="8" customFormat="false" ht="15" hidden="false" customHeight="false" outlineLevel="0" collapsed="false">
      <c r="A8" s="7" t="s">
        <v>517</v>
      </c>
      <c r="B8" s="7" t="s">
        <v>518</v>
      </c>
      <c r="C8" s="7" t="s">
        <v>189</v>
      </c>
      <c r="D8" s="7" t="s">
        <v>516</v>
      </c>
    </row>
    <row r="9" customFormat="false" ht="15" hidden="false" customHeight="false" outlineLevel="0" collapsed="false">
      <c r="A9" s="7" t="s">
        <v>519</v>
      </c>
      <c r="B9" s="7" t="s">
        <v>520</v>
      </c>
      <c r="C9" s="7" t="s">
        <v>196</v>
      </c>
      <c r="D9" s="7" t="s">
        <v>521</v>
      </c>
    </row>
    <row r="10" customFormat="false" ht="15" hidden="false" customHeight="false" outlineLevel="0" collapsed="false">
      <c r="A10" s="14" t="s">
        <v>522</v>
      </c>
      <c r="B10" s="15"/>
      <c r="C10" s="15"/>
      <c r="D10" s="15"/>
    </row>
    <row r="11" customFormat="false" ht="15" hidden="false" customHeight="false" outlineLevel="0" collapsed="false">
      <c r="A11" s="7" t="s">
        <v>523</v>
      </c>
      <c r="B11" s="7" t="s">
        <v>524</v>
      </c>
      <c r="C11" s="7" t="s">
        <v>525</v>
      </c>
      <c r="D11" s="7"/>
    </row>
    <row r="12" customFormat="false" ht="15" hidden="false" customHeight="false" outlineLevel="0" collapsed="false">
      <c r="A12" s="7" t="s">
        <v>526</v>
      </c>
      <c r="B12" s="7" t="s">
        <v>527</v>
      </c>
      <c r="C12" s="7" t="s">
        <v>145</v>
      </c>
      <c r="D12" s="7" t="s">
        <v>528</v>
      </c>
    </row>
    <row r="13" customFormat="false" ht="15" hidden="false" customHeight="false" outlineLevel="0" collapsed="false">
      <c r="A13" s="7" t="s">
        <v>529</v>
      </c>
      <c r="B13" s="7" t="s">
        <v>530</v>
      </c>
      <c r="C13" s="7" t="s">
        <v>531</v>
      </c>
      <c r="D13" s="7"/>
    </row>
    <row r="14" customFormat="false" ht="15" hidden="false" customHeight="false" outlineLevel="0" collapsed="false">
      <c r="A14" s="7" t="s">
        <v>532</v>
      </c>
      <c r="B14" s="7" t="s">
        <v>533</v>
      </c>
      <c r="C14" s="7" t="s">
        <v>153</v>
      </c>
      <c r="D14" s="7" t="s">
        <v>528</v>
      </c>
    </row>
    <row r="15" customFormat="false" ht="15" hidden="false" customHeight="false" outlineLevel="0" collapsed="false">
      <c r="A15" s="7" t="s">
        <v>534</v>
      </c>
      <c r="B15" s="7" t="s">
        <v>535</v>
      </c>
      <c r="C15" s="7"/>
      <c r="D15" s="7" t="s">
        <v>536</v>
      </c>
    </row>
    <row r="16" customFormat="false" ht="15" hidden="false" customHeight="false" outlineLevel="0" collapsed="false">
      <c r="A16" s="14" t="s">
        <v>156</v>
      </c>
      <c r="B16" s="15"/>
      <c r="C16" s="15"/>
      <c r="D16" s="15"/>
    </row>
    <row r="17" customFormat="false" ht="15" hidden="false" customHeight="false" outlineLevel="0" collapsed="false">
      <c r="A17" s="7" t="s">
        <v>537</v>
      </c>
      <c r="B17" s="7" t="s">
        <v>538</v>
      </c>
      <c r="C17" s="7" t="s">
        <v>539</v>
      </c>
      <c r="D17" s="7" t="s">
        <v>540</v>
      </c>
    </row>
    <row r="18" customFormat="false" ht="15" hidden="false" customHeight="false" outlineLevel="0" collapsed="false">
      <c r="A18" s="7" t="s">
        <v>541</v>
      </c>
      <c r="B18" s="7" t="s">
        <v>542</v>
      </c>
      <c r="C18" s="7" t="s">
        <v>543</v>
      </c>
      <c r="D18" s="7" t="s">
        <v>544</v>
      </c>
    </row>
    <row r="19" customFormat="false" ht="15" hidden="false" customHeight="false" outlineLevel="0" collapsed="false">
      <c r="A19" s="14" t="s">
        <v>545</v>
      </c>
      <c r="B19" s="15"/>
      <c r="C19" s="15"/>
      <c r="D19" s="15"/>
    </row>
    <row r="20" customFormat="false" ht="15" hidden="false" customHeight="false" outlineLevel="0" collapsed="false">
      <c r="A20" s="7" t="s">
        <v>546</v>
      </c>
      <c r="B20" s="7" t="s">
        <v>547</v>
      </c>
      <c r="C20" s="7"/>
      <c r="D20" s="7" t="s">
        <v>548</v>
      </c>
    </row>
    <row r="21" customFormat="false" ht="15" hidden="false" customHeight="false" outlineLevel="0" collapsed="false">
      <c r="A21" s="7" t="s">
        <v>549</v>
      </c>
      <c r="B21" s="7" t="s">
        <v>550</v>
      </c>
      <c r="C21" s="7"/>
      <c r="D21" s="7" t="s">
        <v>551</v>
      </c>
    </row>
    <row r="22" customFormat="false" ht="15" hidden="false" customHeight="false" outlineLevel="0" collapsed="false">
      <c r="A22" s="7" t="s">
        <v>552</v>
      </c>
      <c r="B22" s="7" t="s">
        <v>553</v>
      </c>
      <c r="C22" s="7"/>
      <c r="D22" s="7" t="s">
        <v>554</v>
      </c>
    </row>
    <row r="24" customFormat="false" ht="15" hidden="false" customHeight="false" outlineLevel="0" collapsed="false">
      <c r="A24" s="11" t="s">
        <v>555</v>
      </c>
    </row>
    <row r="25" customFormat="false" ht="15" hidden="false" customHeight="false" outlineLevel="0" collapsed="false">
      <c r="A25" s="12" t="s">
        <v>556</v>
      </c>
      <c r="B25" s="12" t="s">
        <v>557</v>
      </c>
      <c r="C25" s="12" t="s">
        <v>558</v>
      </c>
      <c r="D25" s="12" t="s">
        <v>559</v>
      </c>
      <c r="E25" s="12" t="s">
        <v>560</v>
      </c>
      <c r="F25" s="12" t="s">
        <v>43</v>
      </c>
    </row>
    <row r="26" customFormat="false" ht="15" hidden="false" customHeight="false" outlineLevel="0" collapsed="false">
      <c r="A26" s="7" t="s">
        <v>549</v>
      </c>
      <c r="B26" s="7" t="n">
        <v>9600</v>
      </c>
      <c r="C26" s="7" t="s">
        <v>561</v>
      </c>
      <c r="D26" s="7" t="s">
        <v>562</v>
      </c>
      <c r="E26" s="7" t="s">
        <v>563</v>
      </c>
      <c r="F26" s="7" t="s">
        <v>564</v>
      </c>
    </row>
    <row r="27" customFormat="false" ht="15" hidden="false" customHeight="false" outlineLevel="0" collapsed="false">
      <c r="A27" s="7" t="s">
        <v>565</v>
      </c>
      <c r="B27" s="7" t="n">
        <v>9600</v>
      </c>
      <c r="C27" s="7" t="s">
        <v>561</v>
      </c>
      <c r="D27" s="7" t="s">
        <v>562</v>
      </c>
      <c r="E27" s="7" t="s">
        <v>566</v>
      </c>
      <c r="F27" s="7" t="s">
        <v>567</v>
      </c>
    </row>
    <row r="29" customFormat="false" ht="15" hidden="false" customHeight="false" outlineLevel="0" collapsed="false">
      <c r="A29" s="20" t="s">
        <v>568</v>
      </c>
    </row>
    <row r="31" customFormat="false" ht="15" hidden="false" customHeight="false" outlineLevel="0" collapsed="false">
      <c r="A31" s="11" t="s">
        <v>569</v>
      </c>
    </row>
    <row r="32" customFormat="false" ht="15" hidden="false" customHeight="false" outlineLevel="0" collapsed="false">
      <c r="A32" s="12" t="s">
        <v>570</v>
      </c>
      <c r="B32" s="12" t="s">
        <v>557</v>
      </c>
      <c r="C32" s="12" t="s">
        <v>571</v>
      </c>
      <c r="D32" s="12" t="s">
        <v>43</v>
      </c>
    </row>
    <row r="33" customFormat="false" ht="15" hidden="false" customHeight="false" outlineLevel="0" collapsed="false">
      <c r="A33" s="7" t="s">
        <v>572</v>
      </c>
      <c r="B33" s="7" t="n">
        <v>115200</v>
      </c>
      <c r="C33" s="7" t="s">
        <v>573</v>
      </c>
      <c r="D33" s="7" t="s">
        <v>574</v>
      </c>
    </row>
    <row r="34" customFormat="false" ht="23.85" hidden="false" customHeight="false" outlineLevel="0" collapsed="false">
      <c r="A34" s="7" t="s">
        <v>575</v>
      </c>
      <c r="B34" s="7" t="n">
        <v>9600</v>
      </c>
      <c r="C34" s="7" t="s">
        <v>576</v>
      </c>
      <c r="D34" s="7" t="s">
        <v>577</v>
      </c>
    </row>
    <row r="35" customFormat="false" ht="15" hidden="false" customHeight="false" outlineLevel="0" collapsed="false">
      <c r="A35" s="20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579</v>
      </c>
    </row>
    <row r="3" customFormat="false" ht="15" hidden="false" customHeight="false" outlineLevel="0" collapsed="false">
      <c r="A3" s="6" t="s">
        <v>580</v>
      </c>
      <c r="B3" s="6" t="s">
        <v>581</v>
      </c>
      <c r="C3" s="6" t="s">
        <v>582</v>
      </c>
      <c r="D3" s="6" t="s">
        <v>42</v>
      </c>
      <c r="E3" s="6" t="s">
        <v>583</v>
      </c>
      <c r="F3" s="6" t="s">
        <v>584</v>
      </c>
    </row>
    <row r="4" customFormat="false" ht="15" hidden="false" customHeight="false" outlineLevel="0" collapsed="false">
      <c r="A4" s="14" t="s">
        <v>585</v>
      </c>
      <c r="B4" s="15"/>
      <c r="C4" s="15"/>
      <c r="D4" s="15"/>
      <c r="E4" s="15"/>
      <c r="F4" s="15"/>
    </row>
    <row r="5" customFormat="false" ht="15" hidden="false" customHeight="false" outlineLevel="0" collapsed="false">
      <c r="A5" s="7" t="s">
        <v>586</v>
      </c>
      <c r="B5" s="8" t="n">
        <v>0.00492</v>
      </c>
      <c r="C5" s="8" t="n">
        <v>0.00507</v>
      </c>
      <c r="D5" s="7" t="s">
        <v>438</v>
      </c>
      <c r="E5" s="7" t="s">
        <v>587</v>
      </c>
      <c r="F5" s="7" t="s">
        <v>588</v>
      </c>
    </row>
    <row r="6" customFormat="false" ht="15" hidden="false" customHeight="false" outlineLevel="0" collapsed="false">
      <c r="A6" s="7" t="s">
        <v>589</v>
      </c>
      <c r="B6" s="8" t="n">
        <v>0.11</v>
      </c>
      <c r="C6" s="8" t="n">
        <v>0.127</v>
      </c>
      <c r="D6" s="7" t="s">
        <v>441</v>
      </c>
      <c r="E6" s="7"/>
      <c r="F6" s="7"/>
    </row>
    <row r="7" customFormat="false" ht="15" hidden="false" customHeight="false" outlineLevel="0" collapsed="false">
      <c r="A7" s="7" t="s">
        <v>590</v>
      </c>
      <c r="B7" s="8" t="n">
        <v>0.141</v>
      </c>
      <c r="C7" s="8" t="n">
        <v>0.169</v>
      </c>
      <c r="D7" s="7" t="s">
        <v>441</v>
      </c>
      <c r="E7" s="7" t="s">
        <v>591</v>
      </c>
      <c r="F7" s="7" t="s">
        <v>592</v>
      </c>
    </row>
    <row r="8" customFormat="false" ht="15" hidden="false" customHeight="false" outlineLevel="0" collapsed="false">
      <c r="A8" s="7" t="s">
        <v>593</v>
      </c>
      <c r="B8" s="8" t="n">
        <v>181</v>
      </c>
      <c r="C8" s="8" t="n">
        <v>177</v>
      </c>
      <c r="D8" s="7" t="s">
        <v>594</v>
      </c>
      <c r="E8" s="7"/>
      <c r="F8" s="7"/>
    </row>
    <row r="9" customFormat="false" ht="15" hidden="false" customHeight="false" outlineLevel="0" collapsed="false">
      <c r="A9" s="7" t="s">
        <v>595</v>
      </c>
      <c r="B9" s="8" t="n">
        <v>3595</v>
      </c>
      <c r="C9" s="8" t="n">
        <v>3618</v>
      </c>
      <c r="D9" s="7" t="s">
        <v>416</v>
      </c>
      <c r="E9" s="7" t="s">
        <v>596</v>
      </c>
      <c r="F9" s="7" t="s">
        <v>597</v>
      </c>
    </row>
    <row r="10" customFormat="false" ht="15" hidden="false" customHeight="false" outlineLevel="0" collapsed="false">
      <c r="A10" s="7" t="s">
        <v>598</v>
      </c>
      <c r="B10" s="8" t="n">
        <v>56.17</v>
      </c>
      <c r="C10" s="8" t="n">
        <v>56.53</v>
      </c>
      <c r="D10" s="7"/>
      <c r="E10" s="7"/>
      <c r="F10" s="7" t="s">
        <v>599</v>
      </c>
    </row>
    <row r="11" customFormat="false" ht="15" hidden="false" customHeight="false" outlineLevel="0" collapsed="false">
      <c r="A11" s="7" t="s">
        <v>600</v>
      </c>
      <c r="B11" s="8" t="n">
        <v>6</v>
      </c>
      <c r="C11" s="8" t="n">
        <v>6</v>
      </c>
      <c r="D11" s="7" t="s">
        <v>601</v>
      </c>
      <c r="E11" s="7" t="s">
        <v>602</v>
      </c>
      <c r="F11" s="7" t="s">
        <v>603</v>
      </c>
    </row>
    <row r="12" customFormat="false" ht="15" hidden="false" customHeight="false" outlineLevel="0" collapsed="false">
      <c r="A12" s="14" t="s">
        <v>604</v>
      </c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7" t="s">
        <v>605</v>
      </c>
      <c r="B13" s="8" t="n">
        <v>374</v>
      </c>
      <c r="C13" s="8"/>
      <c r="D13" s="7" t="s">
        <v>454</v>
      </c>
      <c r="E13" s="7" t="s">
        <v>606</v>
      </c>
      <c r="F13" s="7" t="s">
        <v>607</v>
      </c>
    </row>
    <row r="14" customFormat="false" ht="15" hidden="false" customHeight="false" outlineLevel="0" collapsed="false">
      <c r="A14" s="7" t="s">
        <v>608</v>
      </c>
      <c r="B14" s="8" t="n">
        <v>292.3</v>
      </c>
      <c r="C14" s="8" t="n">
        <v>288.5</v>
      </c>
      <c r="D14" s="7" t="s">
        <v>609</v>
      </c>
      <c r="E14" s="7"/>
      <c r="F14" s="7" t="s">
        <v>610</v>
      </c>
    </row>
    <row r="15" customFormat="false" ht="15" hidden="false" customHeight="false" outlineLevel="0" collapsed="false">
      <c r="A15" s="7" t="s">
        <v>611</v>
      </c>
      <c r="B15" s="8" t="n">
        <v>994.5</v>
      </c>
      <c r="C15" s="8" t="n">
        <v>994.1</v>
      </c>
      <c r="D15" s="7" t="s">
        <v>609</v>
      </c>
      <c r="E15" s="7" t="s">
        <v>612</v>
      </c>
      <c r="F15" s="7" t="s">
        <v>613</v>
      </c>
    </row>
    <row r="16" customFormat="false" ht="15" hidden="false" customHeight="false" outlineLevel="0" collapsed="false">
      <c r="A16" s="7" t="s">
        <v>614</v>
      </c>
      <c r="B16" s="8" t="n">
        <v>999.5</v>
      </c>
      <c r="C16" s="8" t="n">
        <v>1000.3</v>
      </c>
      <c r="D16" s="7" t="s">
        <v>609</v>
      </c>
      <c r="E16" s="7" t="s">
        <v>615</v>
      </c>
      <c r="F16" s="7" t="s">
        <v>616</v>
      </c>
    </row>
    <row r="17" customFormat="false" ht="15" hidden="false" customHeight="false" outlineLevel="0" collapsed="false">
      <c r="A17" s="7" t="s">
        <v>617</v>
      </c>
      <c r="B17" s="21" t="n">
        <f aca="false">76*955/AVERAGE(B16:C16)</f>
        <v>72.5872587258726</v>
      </c>
      <c r="C17" s="8"/>
      <c r="D17" s="7" t="s">
        <v>411</v>
      </c>
      <c r="E17" s="7" t="s">
        <v>618</v>
      </c>
      <c r="F17" s="7" t="s">
        <v>619</v>
      </c>
    </row>
    <row r="18" customFormat="false" ht="15" hidden="false" customHeight="false" outlineLevel="0" collapsed="false">
      <c r="A18" s="7" t="s">
        <v>620</v>
      </c>
      <c r="B18" s="8" t="n">
        <v>1766.3</v>
      </c>
      <c r="C18" s="8" t="n">
        <v>1758.9</v>
      </c>
      <c r="D18" s="7" t="s">
        <v>609</v>
      </c>
      <c r="E18" s="7" t="s">
        <v>621</v>
      </c>
      <c r="F18" s="7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623</v>
      </c>
    </row>
    <row r="3" customFormat="false" ht="15" hidden="false" customHeight="false" outlineLevel="0" collapsed="false">
      <c r="A3" s="6" t="s">
        <v>624</v>
      </c>
      <c r="B3" s="6" t="s">
        <v>625</v>
      </c>
      <c r="C3" s="6" t="s">
        <v>626</v>
      </c>
      <c r="D3" s="6" t="s">
        <v>627</v>
      </c>
      <c r="E3" s="6" t="s">
        <v>628</v>
      </c>
    </row>
    <row r="4" customFormat="false" ht="23.85" hidden="false" customHeight="false" outlineLevel="0" collapsed="false">
      <c r="A4" s="7" t="n">
        <v>1</v>
      </c>
      <c r="B4" s="10" t="s">
        <v>629</v>
      </c>
      <c r="C4" s="7" t="s">
        <v>630</v>
      </c>
      <c r="D4" s="7" t="s">
        <v>631</v>
      </c>
      <c r="E4" s="7" t="s">
        <v>632</v>
      </c>
    </row>
    <row r="5" customFormat="false" ht="23.85" hidden="false" customHeight="false" outlineLevel="0" collapsed="false">
      <c r="A5" s="7" t="n">
        <v>2</v>
      </c>
      <c r="B5" s="10" t="s">
        <v>629</v>
      </c>
      <c r="C5" s="7" t="s">
        <v>633</v>
      </c>
      <c r="D5" s="7" t="s">
        <v>634</v>
      </c>
      <c r="E5" s="7" t="s">
        <v>635</v>
      </c>
    </row>
    <row r="6" customFormat="false" ht="23.85" hidden="false" customHeight="false" outlineLevel="0" collapsed="false">
      <c r="A6" s="7" t="n">
        <v>3</v>
      </c>
      <c r="B6" s="10" t="s">
        <v>629</v>
      </c>
      <c r="C6" s="7" t="s">
        <v>636</v>
      </c>
      <c r="D6" s="7" t="s">
        <v>637</v>
      </c>
      <c r="E6" s="7" t="s">
        <v>638</v>
      </c>
    </row>
    <row r="7" customFormat="false" ht="23.85" hidden="false" customHeight="false" outlineLevel="0" collapsed="false">
      <c r="A7" s="7" t="n">
        <v>4</v>
      </c>
      <c r="B7" s="10" t="s">
        <v>629</v>
      </c>
      <c r="C7" s="7" t="s">
        <v>639</v>
      </c>
      <c r="D7" s="7" t="s">
        <v>640</v>
      </c>
      <c r="E7" s="7" t="s">
        <v>641</v>
      </c>
    </row>
    <row r="8" customFormat="false" ht="15" hidden="false" customHeight="false" outlineLevel="0" collapsed="false">
      <c r="A8" s="7" t="n">
        <v>5</v>
      </c>
      <c r="B8" s="7" t="s">
        <v>642</v>
      </c>
      <c r="C8" s="7" t="s">
        <v>643</v>
      </c>
      <c r="D8" s="7" t="s">
        <v>644</v>
      </c>
      <c r="E8" s="7" t="s">
        <v>645</v>
      </c>
    </row>
    <row r="9" customFormat="false" ht="23.85" hidden="false" customHeight="false" outlineLevel="0" collapsed="false">
      <c r="A9" s="7" t="n">
        <v>6</v>
      </c>
      <c r="B9" s="7" t="s">
        <v>642</v>
      </c>
      <c r="C9" s="7" t="s">
        <v>646</v>
      </c>
      <c r="D9" s="7" t="s">
        <v>647</v>
      </c>
      <c r="E9" s="7" t="s">
        <v>648</v>
      </c>
    </row>
    <row r="10" customFormat="false" ht="23.85" hidden="false" customHeight="false" outlineLevel="0" collapsed="false">
      <c r="A10" s="7" t="n">
        <v>7</v>
      </c>
      <c r="B10" s="7" t="s">
        <v>642</v>
      </c>
      <c r="C10" s="7" t="s">
        <v>649</v>
      </c>
      <c r="D10" s="7" t="s">
        <v>650</v>
      </c>
      <c r="E10" s="7" t="s">
        <v>651</v>
      </c>
    </row>
    <row r="11" customFormat="false" ht="15" hidden="false" customHeight="false" outlineLevel="0" collapsed="false">
      <c r="A11" s="7" t="n">
        <v>8</v>
      </c>
      <c r="B11" s="7" t="s">
        <v>642</v>
      </c>
      <c r="C11" s="7" t="s">
        <v>652</v>
      </c>
      <c r="D11" s="7" t="s">
        <v>653</v>
      </c>
      <c r="E11" s="7" t="s">
        <v>654</v>
      </c>
    </row>
    <row r="12" customFormat="false" ht="23.85" hidden="false" customHeight="false" outlineLevel="0" collapsed="false">
      <c r="A12" s="7" t="n">
        <v>9</v>
      </c>
      <c r="B12" s="7" t="s">
        <v>642</v>
      </c>
      <c r="C12" s="7" t="s">
        <v>655</v>
      </c>
      <c r="D12" s="7" t="s">
        <v>656</v>
      </c>
      <c r="E12" s="7" t="s">
        <v>657</v>
      </c>
    </row>
    <row r="13" customFormat="false" ht="15" hidden="false" customHeight="false" outlineLevel="0" collapsed="false">
      <c r="A13" s="7" t="n">
        <v>10</v>
      </c>
      <c r="B13" s="7" t="s">
        <v>642</v>
      </c>
      <c r="C13" s="7" t="s">
        <v>658</v>
      </c>
      <c r="D13" s="7" t="s">
        <v>659</v>
      </c>
      <c r="E13" s="7" t="s">
        <v>660</v>
      </c>
    </row>
    <row r="14" customFormat="false" ht="15" hidden="false" customHeight="false" outlineLevel="0" collapsed="false">
      <c r="A14" s="7" t="n">
        <v>11</v>
      </c>
      <c r="B14" s="7" t="s">
        <v>642</v>
      </c>
      <c r="C14" s="7" t="s">
        <v>661</v>
      </c>
      <c r="D14" s="7" t="s">
        <v>662</v>
      </c>
      <c r="E14" s="7" t="s">
        <v>663</v>
      </c>
    </row>
    <row r="15" customFormat="false" ht="23.85" hidden="false" customHeight="false" outlineLevel="0" collapsed="false">
      <c r="A15" s="7" t="n">
        <v>12</v>
      </c>
      <c r="B15" s="7" t="s">
        <v>642</v>
      </c>
      <c r="C15" s="7" t="s">
        <v>664</v>
      </c>
      <c r="D15" s="7" t="s">
        <v>665</v>
      </c>
      <c r="E15" s="7" t="s">
        <v>666</v>
      </c>
    </row>
    <row r="16" customFormat="false" ht="15" hidden="false" customHeight="false" outlineLevel="0" collapsed="false">
      <c r="A16" s="7" t="n">
        <v>13</v>
      </c>
      <c r="B16" s="7" t="s">
        <v>642</v>
      </c>
      <c r="C16" s="7" t="s">
        <v>667</v>
      </c>
      <c r="D16" s="7" t="s">
        <v>668</v>
      </c>
      <c r="E16" s="7" t="s">
        <v>669</v>
      </c>
    </row>
    <row r="17" customFormat="false" ht="23.85" hidden="false" customHeight="false" outlineLevel="0" collapsed="false">
      <c r="A17" s="7" t="n">
        <v>14</v>
      </c>
      <c r="B17" s="7" t="s">
        <v>670</v>
      </c>
      <c r="C17" s="7" t="s">
        <v>671</v>
      </c>
      <c r="D17" s="7" t="s">
        <v>672</v>
      </c>
      <c r="E17" s="7" t="s">
        <v>673</v>
      </c>
    </row>
    <row r="18" customFormat="false" ht="15" hidden="false" customHeight="false" outlineLevel="0" collapsed="false">
      <c r="A18" s="7" t="n">
        <v>15</v>
      </c>
      <c r="B18" s="7" t="s">
        <v>670</v>
      </c>
      <c r="C18" s="7" t="s">
        <v>674</v>
      </c>
      <c r="D18" s="7" t="s">
        <v>675</v>
      </c>
      <c r="E18" s="7" t="s">
        <v>676</v>
      </c>
    </row>
    <row r="19" customFormat="false" ht="15" hidden="false" customHeight="false" outlineLevel="0" collapsed="false">
      <c r="A19" s="7" t="n">
        <v>16</v>
      </c>
      <c r="B19" s="7" t="s">
        <v>677</v>
      </c>
      <c r="C19" s="7" t="s">
        <v>678</v>
      </c>
      <c r="D19" s="7" t="s">
        <v>679</v>
      </c>
      <c r="E19" s="7" t="s">
        <v>680</v>
      </c>
    </row>
    <row r="20" customFormat="false" ht="15" hidden="false" customHeight="false" outlineLevel="0" collapsed="false">
      <c r="A20" s="7" t="n">
        <v>17</v>
      </c>
      <c r="B20" s="7" t="s">
        <v>677</v>
      </c>
      <c r="C20" s="7" t="s">
        <v>681</v>
      </c>
      <c r="D20" s="7" t="s">
        <v>682</v>
      </c>
      <c r="E20" s="7" t="s">
        <v>683</v>
      </c>
    </row>
    <row r="21" customFormat="false" ht="15" hidden="false" customHeight="false" outlineLevel="0" collapsed="false">
      <c r="A21" s="7" t="n">
        <v>18</v>
      </c>
      <c r="B21" s="7" t="s">
        <v>677</v>
      </c>
      <c r="C21" s="7" t="s">
        <v>684</v>
      </c>
      <c r="D21" s="7" t="s">
        <v>685</v>
      </c>
      <c r="E21" s="7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2026-10-09T15:34:37Z</dcterms:created>
  <dc:creator>openpyxl</dc:creator>
  <dc:description/>
  <dc:language>en-US</dc:language>
  <cp:lastModifiedBy/>
  <dcterms:modified xsi:type="dcterms:W3CDTF">2026-10-09T15:34:37Z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